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48503\Desktop\Workspace\"/>
    </mc:Choice>
  </mc:AlternateContent>
  <xr:revisionPtr revIDLastSave="0" documentId="13_ncr:1_{00EE4686-5ABC-49D6-825C-A95960A14F0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77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2" i="1"/>
  <c r="AE178" i="1"/>
  <c r="AE177" i="1"/>
  <c r="AA3" i="1"/>
  <c r="AB3" i="1"/>
  <c r="AA4" i="1"/>
  <c r="AE4" i="1" s="1"/>
  <c r="AB4" i="1"/>
  <c r="AA5" i="1"/>
  <c r="AB5" i="1"/>
  <c r="AA6" i="1"/>
  <c r="AB6" i="1"/>
  <c r="AA7" i="1"/>
  <c r="AE7" i="1" s="1"/>
  <c r="AB7" i="1"/>
  <c r="AA8" i="1"/>
  <c r="AE8" i="1" s="1"/>
  <c r="AB8" i="1"/>
  <c r="AA9" i="1"/>
  <c r="AB9" i="1"/>
  <c r="AA10" i="1"/>
  <c r="AE10" i="1" s="1"/>
  <c r="AB10" i="1"/>
  <c r="AA11" i="1"/>
  <c r="AB11" i="1"/>
  <c r="AA12" i="1"/>
  <c r="AB12" i="1"/>
  <c r="AA13" i="1"/>
  <c r="AB13" i="1"/>
  <c r="AA14" i="1"/>
  <c r="AE14" i="1" s="1"/>
  <c r="AB14" i="1"/>
  <c r="AA15" i="1"/>
  <c r="AB15" i="1"/>
  <c r="AA16" i="1"/>
  <c r="AE16" i="1" s="1"/>
  <c r="AB16" i="1"/>
  <c r="AA17" i="1"/>
  <c r="AB17" i="1"/>
  <c r="AA18" i="1"/>
  <c r="AB18" i="1"/>
  <c r="AA19" i="1"/>
  <c r="AE19" i="1" s="1"/>
  <c r="AB19" i="1"/>
  <c r="AA20" i="1"/>
  <c r="AE20" i="1" s="1"/>
  <c r="AB20" i="1"/>
  <c r="AA21" i="1"/>
  <c r="AB21" i="1"/>
  <c r="AA22" i="1"/>
  <c r="AE22" i="1" s="1"/>
  <c r="AB22" i="1"/>
  <c r="AA23" i="1"/>
  <c r="AB23" i="1"/>
  <c r="AA24" i="1"/>
  <c r="AB24" i="1"/>
  <c r="AA25" i="1"/>
  <c r="AB25" i="1"/>
  <c r="AA26" i="1"/>
  <c r="AE26" i="1" s="1"/>
  <c r="AB26" i="1"/>
  <c r="AA27" i="1"/>
  <c r="AB27" i="1"/>
  <c r="AA28" i="1"/>
  <c r="AE28" i="1" s="1"/>
  <c r="AB28" i="1"/>
  <c r="AA29" i="1"/>
  <c r="AB29" i="1"/>
  <c r="AA30" i="1"/>
  <c r="AB30" i="1"/>
  <c r="AA31" i="1"/>
  <c r="AE31" i="1" s="1"/>
  <c r="AB31" i="1"/>
  <c r="AA32" i="1"/>
  <c r="AE32" i="1" s="1"/>
  <c r="AB32" i="1"/>
  <c r="AA33" i="1"/>
  <c r="AB33" i="1"/>
  <c r="AA34" i="1"/>
  <c r="AE34" i="1" s="1"/>
  <c r="AB34" i="1"/>
  <c r="AA35" i="1"/>
  <c r="AB35" i="1"/>
  <c r="AA36" i="1"/>
  <c r="AB36" i="1"/>
  <c r="AA37" i="1"/>
  <c r="AB37" i="1"/>
  <c r="AA38" i="1"/>
  <c r="AE38" i="1" s="1"/>
  <c r="AB38" i="1"/>
  <c r="AA39" i="1"/>
  <c r="AB39" i="1"/>
  <c r="AA40" i="1"/>
  <c r="AE40" i="1" s="1"/>
  <c r="AB40" i="1"/>
  <c r="AA41" i="1"/>
  <c r="AB41" i="1"/>
  <c r="AA42" i="1"/>
  <c r="AB42" i="1"/>
  <c r="AA43" i="1"/>
  <c r="AE43" i="1" s="1"/>
  <c r="AB43" i="1"/>
  <c r="AA44" i="1"/>
  <c r="AE44" i="1" s="1"/>
  <c r="AB44" i="1"/>
  <c r="AA45" i="1"/>
  <c r="AB45" i="1"/>
  <c r="AA46" i="1"/>
  <c r="AE46" i="1" s="1"/>
  <c r="AB46" i="1"/>
  <c r="AA47" i="1"/>
  <c r="AB47" i="1"/>
  <c r="AA48" i="1"/>
  <c r="AB48" i="1"/>
  <c r="AA49" i="1"/>
  <c r="AB49" i="1"/>
  <c r="AA50" i="1"/>
  <c r="AE50" i="1" s="1"/>
  <c r="AB50" i="1"/>
  <c r="AA51" i="1"/>
  <c r="AB51" i="1"/>
  <c r="AA52" i="1"/>
  <c r="AE52" i="1" s="1"/>
  <c r="AB52" i="1"/>
  <c r="AA53" i="1"/>
  <c r="AB53" i="1"/>
  <c r="AA54" i="1"/>
  <c r="AB54" i="1"/>
  <c r="AA55" i="1"/>
  <c r="AE55" i="1" s="1"/>
  <c r="AB55" i="1"/>
  <c r="AA56" i="1"/>
  <c r="AE56" i="1" s="1"/>
  <c r="AB56" i="1"/>
  <c r="AA57" i="1"/>
  <c r="AB57" i="1"/>
  <c r="AA58" i="1"/>
  <c r="AE58" i="1" s="1"/>
  <c r="AB58" i="1"/>
  <c r="AA59" i="1"/>
  <c r="AB59" i="1"/>
  <c r="AA60" i="1"/>
  <c r="AB60" i="1"/>
  <c r="AA61" i="1"/>
  <c r="AB61" i="1"/>
  <c r="AA62" i="1"/>
  <c r="AE62" i="1" s="1"/>
  <c r="AB62" i="1"/>
  <c r="AA63" i="1"/>
  <c r="AB63" i="1"/>
  <c r="AA64" i="1"/>
  <c r="AE64" i="1" s="1"/>
  <c r="AB64" i="1"/>
  <c r="AA65" i="1"/>
  <c r="AB65" i="1"/>
  <c r="AA66" i="1"/>
  <c r="AB66" i="1"/>
  <c r="AA67" i="1"/>
  <c r="AE67" i="1" s="1"/>
  <c r="AB67" i="1"/>
  <c r="AA68" i="1"/>
  <c r="AE68" i="1" s="1"/>
  <c r="AB68" i="1"/>
  <c r="AA69" i="1"/>
  <c r="AB69" i="1"/>
  <c r="AA70" i="1"/>
  <c r="AE70" i="1" s="1"/>
  <c r="AB70" i="1"/>
  <c r="AA71" i="1"/>
  <c r="AB71" i="1"/>
  <c r="AA72" i="1"/>
  <c r="AB72" i="1"/>
  <c r="AA73" i="1"/>
  <c r="AB73" i="1"/>
  <c r="AA74" i="1"/>
  <c r="AE74" i="1" s="1"/>
  <c r="AB74" i="1"/>
  <c r="AA75" i="1"/>
  <c r="AB75" i="1"/>
  <c r="AA76" i="1"/>
  <c r="AE76" i="1" s="1"/>
  <c r="AB76" i="1"/>
  <c r="AA77" i="1"/>
  <c r="AB77" i="1"/>
  <c r="AA78" i="1"/>
  <c r="AB78" i="1"/>
  <c r="AA79" i="1"/>
  <c r="AE79" i="1" s="1"/>
  <c r="AB79" i="1"/>
  <c r="AA80" i="1"/>
  <c r="AE80" i="1" s="1"/>
  <c r="AB80" i="1"/>
  <c r="AA81" i="1"/>
  <c r="AB81" i="1"/>
  <c r="AA82" i="1"/>
  <c r="AE82" i="1" s="1"/>
  <c r="AB82" i="1"/>
  <c r="AA83" i="1"/>
  <c r="AB83" i="1"/>
  <c r="AA84" i="1"/>
  <c r="AB84" i="1"/>
  <c r="AA85" i="1"/>
  <c r="AB85" i="1"/>
  <c r="AA86" i="1"/>
  <c r="AE86" i="1" s="1"/>
  <c r="AB86" i="1"/>
  <c r="AA87" i="1"/>
  <c r="AB87" i="1"/>
  <c r="AA88" i="1"/>
  <c r="AE88" i="1" s="1"/>
  <c r="AB88" i="1"/>
  <c r="AA89" i="1"/>
  <c r="AB89" i="1"/>
  <c r="AA90" i="1"/>
  <c r="AB90" i="1"/>
  <c r="AA91" i="1"/>
  <c r="AE91" i="1" s="1"/>
  <c r="AB91" i="1"/>
  <c r="AA92" i="1"/>
  <c r="AE92" i="1" s="1"/>
  <c r="AB92" i="1"/>
  <c r="AA93" i="1"/>
  <c r="AB93" i="1"/>
  <c r="AA94" i="1"/>
  <c r="AE94" i="1" s="1"/>
  <c r="AB94" i="1"/>
  <c r="AA95" i="1"/>
  <c r="AB95" i="1"/>
  <c r="AA96" i="1"/>
  <c r="AB96" i="1"/>
  <c r="AA97" i="1"/>
  <c r="AB97" i="1"/>
  <c r="AA98" i="1"/>
  <c r="AE98" i="1" s="1"/>
  <c r="AB98" i="1"/>
  <c r="AA99" i="1"/>
  <c r="AB99" i="1"/>
  <c r="AA100" i="1"/>
  <c r="AE100" i="1" s="1"/>
  <c r="AB100" i="1"/>
  <c r="AA101" i="1"/>
  <c r="AB101" i="1"/>
  <c r="AA102" i="1"/>
  <c r="AB102" i="1"/>
  <c r="AA103" i="1"/>
  <c r="AE103" i="1" s="1"/>
  <c r="AB103" i="1"/>
  <c r="AA104" i="1"/>
  <c r="AE104" i="1" s="1"/>
  <c r="AB104" i="1"/>
  <c r="AA105" i="1"/>
  <c r="AB105" i="1"/>
  <c r="AA106" i="1"/>
  <c r="AE106" i="1" s="1"/>
  <c r="AB106" i="1"/>
  <c r="AA107" i="1"/>
  <c r="AB107" i="1"/>
  <c r="AA108" i="1"/>
  <c r="AB108" i="1"/>
  <c r="AA109" i="1"/>
  <c r="AB109" i="1"/>
  <c r="AA110" i="1"/>
  <c r="AE110" i="1" s="1"/>
  <c r="AB110" i="1"/>
  <c r="AA111" i="1"/>
  <c r="AB111" i="1"/>
  <c r="AA112" i="1"/>
  <c r="AE112" i="1" s="1"/>
  <c r="AB112" i="1"/>
  <c r="AA113" i="1"/>
  <c r="AB113" i="1"/>
  <c r="AA114" i="1"/>
  <c r="AB114" i="1"/>
  <c r="AA115" i="1"/>
  <c r="AE115" i="1" s="1"/>
  <c r="AB115" i="1"/>
  <c r="AA116" i="1"/>
  <c r="AE116" i="1" s="1"/>
  <c r="AB116" i="1"/>
  <c r="AA117" i="1"/>
  <c r="AB117" i="1"/>
  <c r="AA118" i="1"/>
  <c r="AE118" i="1" s="1"/>
  <c r="AB118" i="1"/>
  <c r="AA119" i="1"/>
  <c r="AB119" i="1"/>
  <c r="AA120" i="1"/>
  <c r="AB120" i="1"/>
  <c r="AA121" i="1"/>
  <c r="AB121" i="1"/>
  <c r="AE121" i="1" s="1"/>
  <c r="AA122" i="1"/>
  <c r="AE122" i="1" s="1"/>
  <c r="AB122" i="1"/>
  <c r="AA123" i="1"/>
  <c r="AB123" i="1"/>
  <c r="AA124" i="1"/>
  <c r="AE124" i="1" s="1"/>
  <c r="AB124" i="1"/>
  <c r="AA125" i="1"/>
  <c r="AB125" i="1"/>
  <c r="AA126" i="1"/>
  <c r="AB126" i="1"/>
  <c r="AA127" i="1"/>
  <c r="AE127" i="1" s="1"/>
  <c r="AB127" i="1"/>
  <c r="AA128" i="1"/>
  <c r="AE128" i="1" s="1"/>
  <c r="AB128" i="1"/>
  <c r="AA129" i="1"/>
  <c r="AB129" i="1"/>
  <c r="AA130" i="1"/>
  <c r="AE130" i="1" s="1"/>
  <c r="AB130" i="1"/>
  <c r="AA131" i="1"/>
  <c r="AB131" i="1"/>
  <c r="AA132" i="1"/>
  <c r="AB132" i="1"/>
  <c r="AA133" i="1"/>
  <c r="AB133" i="1"/>
  <c r="AA134" i="1"/>
  <c r="AE134" i="1" s="1"/>
  <c r="AB134" i="1"/>
  <c r="AA135" i="1"/>
  <c r="AB135" i="1"/>
  <c r="AA136" i="1"/>
  <c r="AE136" i="1" s="1"/>
  <c r="AB136" i="1"/>
  <c r="AA137" i="1"/>
  <c r="AB137" i="1"/>
  <c r="AA138" i="1"/>
  <c r="AB138" i="1"/>
  <c r="AA139" i="1"/>
  <c r="AE139" i="1" s="1"/>
  <c r="AB139" i="1"/>
  <c r="AA140" i="1"/>
  <c r="AE140" i="1" s="1"/>
  <c r="AB140" i="1"/>
  <c r="AA141" i="1"/>
  <c r="AB141" i="1"/>
  <c r="AA142" i="1"/>
  <c r="AE142" i="1" s="1"/>
  <c r="AB142" i="1"/>
  <c r="AA143" i="1"/>
  <c r="AB143" i="1"/>
  <c r="AA144" i="1"/>
  <c r="AB144" i="1"/>
  <c r="AA145" i="1"/>
  <c r="AB145" i="1"/>
  <c r="AA146" i="1"/>
  <c r="AE146" i="1" s="1"/>
  <c r="AB146" i="1"/>
  <c r="AA147" i="1"/>
  <c r="AB147" i="1"/>
  <c r="AA148" i="1"/>
  <c r="AE148" i="1" s="1"/>
  <c r="AB148" i="1"/>
  <c r="AA149" i="1"/>
  <c r="AB149" i="1"/>
  <c r="AA150" i="1"/>
  <c r="AB150" i="1"/>
  <c r="AA151" i="1"/>
  <c r="AE151" i="1" s="1"/>
  <c r="AB151" i="1"/>
  <c r="AA152" i="1"/>
  <c r="AE152" i="1" s="1"/>
  <c r="AB152" i="1"/>
  <c r="AA153" i="1"/>
  <c r="AB153" i="1"/>
  <c r="AA154" i="1"/>
  <c r="AE154" i="1" s="1"/>
  <c r="AB154" i="1"/>
  <c r="AA155" i="1"/>
  <c r="AB155" i="1"/>
  <c r="AA156" i="1"/>
  <c r="AB156" i="1"/>
  <c r="AA157" i="1"/>
  <c r="AE157" i="1" s="1"/>
  <c r="AB157" i="1"/>
  <c r="AA158" i="1"/>
  <c r="AE158" i="1" s="1"/>
  <c r="AB158" i="1"/>
  <c r="AA159" i="1"/>
  <c r="AB159" i="1"/>
  <c r="AA160" i="1"/>
  <c r="AE160" i="1" s="1"/>
  <c r="AB160" i="1"/>
  <c r="AA161" i="1"/>
  <c r="AB161" i="1"/>
  <c r="AA162" i="1"/>
  <c r="AB162" i="1"/>
  <c r="AA163" i="1"/>
  <c r="AE163" i="1" s="1"/>
  <c r="AB163" i="1"/>
  <c r="AA164" i="1"/>
  <c r="AE164" i="1" s="1"/>
  <c r="AB164" i="1"/>
  <c r="AA165" i="1"/>
  <c r="AB165" i="1"/>
  <c r="AA166" i="1"/>
  <c r="AE166" i="1" s="1"/>
  <c r="AB166" i="1"/>
  <c r="AA167" i="1"/>
  <c r="AB167" i="1"/>
  <c r="AA168" i="1"/>
  <c r="AB168" i="1"/>
  <c r="AA169" i="1"/>
  <c r="AE169" i="1" s="1"/>
  <c r="AB169" i="1"/>
  <c r="AA170" i="1"/>
  <c r="AE170" i="1" s="1"/>
  <c r="AB170" i="1"/>
  <c r="AA171" i="1"/>
  <c r="AB171" i="1"/>
  <c r="AA172" i="1"/>
  <c r="AE172" i="1" s="1"/>
  <c r="AB172" i="1"/>
  <c r="AA173" i="1"/>
  <c r="AB173" i="1"/>
  <c r="AA174" i="1"/>
  <c r="AB174" i="1"/>
  <c r="AE3" i="1"/>
  <c r="AE5" i="1"/>
  <c r="AE6" i="1"/>
  <c r="AE9" i="1"/>
  <c r="AE11" i="1"/>
  <c r="AE12" i="1"/>
  <c r="AE13" i="1"/>
  <c r="AE15" i="1"/>
  <c r="AE17" i="1"/>
  <c r="AE18" i="1"/>
  <c r="AE21" i="1"/>
  <c r="AE23" i="1"/>
  <c r="AE24" i="1"/>
  <c r="AE25" i="1"/>
  <c r="AE27" i="1"/>
  <c r="AE29" i="1"/>
  <c r="AE30" i="1"/>
  <c r="AE33" i="1"/>
  <c r="AE35" i="1"/>
  <c r="AE36" i="1"/>
  <c r="AE37" i="1"/>
  <c r="AE39" i="1"/>
  <c r="AE41" i="1"/>
  <c r="AE42" i="1"/>
  <c r="AE45" i="1"/>
  <c r="AE47" i="1"/>
  <c r="AE48" i="1"/>
  <c r="AE49" i="1"/>
  <c r="AE51" i="1"/>
  <c r="AE53" i="1"/>
  <c r="AE54" i="1"/>
  <c r="AE57" i="1"/>
  <c r="AE59" i="1"/>
  <c r="AE60" i="1"/>
  <c r="AE61" i="1"/>
  <c r="AE63" i="1"/>
  <c r="AE65" i="1"/>
  <c r="AE66" i="1"/>
  <c r="AE69" i="1"/>
  <c r="AE71" i="1"/>
  <c r="AE72" i="1"/>
  <c r="AE73" i="1"/>
  <c r="AE75" i="1"/>
  <c r="AE77" i="1"/>
  <c r="AE78" i="1"/>
  <c r="AE81" i="1"/>
  <c r="AE83" i="1"/>
  <c r="AE84" i="1"/>
  <c r="AE85" i="1"/>
  <c r="AE87" i="1"/>
  <c r="AE89" i="1"/>
  <c r="AE90" i="1"/>
  <c r="AE93" i="1"/>
  <c r="AE95" i="1"/>
  <c r="AE96" i="1"/>
  <c r="AE97" i="1"/>
  <c r="AE99" i="1"/>
  <c r="AE101" i="1"/>
  <c r="AE102" i="1"/>
  <c r="AE105" i="1"/>
  <c r="AE107" i="1"/>
  <c r="AE108" i="1"/>
  <c r="AE109" i="1"/>
  <c r="AE111" i="1"/>
  <c r="AE113" i="1"/>
  <c r="AE114" i="1"/>
  <c r="AE117" i="1"/>
  <c r="AE119" i="1"/>
  <c r="AE120" i="1"/>
  <c r="AE123" i="1"/>
  <c r="AE125" i="1"/>
  <c r="AE126" i="1"/>
  <c r="AE129" i="1"/>
  <c r="AE131" i="1"/>
  <c r="AE132" i="1"/>
  <c r="AE133" i="1"/>
  <c r="AE135" i="1"/>
  <c r="AE137" i="1"/>
  <c r="AE138" i="1"/>
  <c r="AE141" i="1"/>
  <c r="AE143" i="1"/>
  <c r="AE144" i="1"/>
  <c r="AE145" i="1"/>
  <c r="AE147" i="1"/>
  <c r="AE149" i="1"/>
  <c r="AE150" i="1"/>
  <c r="AE153" i="1"/>
  <c r="AE155" i="1"/>
  <c r="AE156" i="1"/>
  <c r="AE159" i="1"/>
  <c r="AE161" i="1"/>
  <c r="AE162" i="1"/>
  <c r="AE165" i="1"/>
  <c r="AE167" i="1"/>
  <c r="AE168" i="1"/>
  <c r="AE171" i="1"/>
  <c r="AE173" i="1"/>
  <c r="AE174" i="1"/>
  <c r="AE2" i="1"/>
  <c r="AB2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2" i="1"/>
  <c r="X2" i="1" s="1"/>
</calcChain>
</file>

<file path=xl/sharedStrings.xml><?xml version="1.0" encoding="utf-8"?>
<sst xmlns="http://schemas.openxmlformats.org/spreadsheetml/2006/main" count="1057" uniqueCount="193">
  <si>
    <t>Lp</t>
  </si>
  <si>
    <t>country 2024</t>
  </si>
  <si>
    <t>EPI 2024</t>
  </si>
  <si>
    <t>ranking 2024</t>
  </si>
  <si>
    <t>country 2022</t>
  </si>
  <si>
    <t>EPI 2022</t>
  </si>
  <si>
    <t>ranking 2022</t>
  </si>
  <si>
    <t>country 2020</t>
  </si>
  <si>
    <t>EPI 2020</t>
  </si>
  <si>
    <t>ranking 2020</t>
  </si>
  <si>
    <t>country 2018</t>
  </si>
  <si>
    <t>EPI 2018</t>
  </si>
  <si>
    <t>ranking 2018</t>
  </si>
  <si>
    <t>country 2016</t>
  </si>
  <si>
    <t>EPI 2016</t>
  </si>
  <si>
    <t>ranking 2016</t>
  </si>
  <si>
    <t>country 2014</t>
  </si>
  <si>
    <t>EPI 2014</t>
  </si>
  <si>
    <t>ranking 2014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</si>
  <si>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</si>
  <si>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</si>
  <si>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</si>
  <si>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</si>
  <si>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</si>
  <si>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</si>
  <si>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</si>
  <si>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</si>
  <si>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</si>
  <si>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</si>
  <si>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</si>
  <si>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</si>
  <si>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</si>
  <si>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</si>
  <si>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</si>
  <si>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</si>
  <si>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</si>
  <si>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</si>
  <si>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</si>
  <si>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</si>
  <si>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</si>
  <si>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</si>
  <si>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</si>
  <si>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</si>
  <si>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</si>
  <si>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</si>
  <si>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</si>
  <si>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</si>
  <si>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</si>
  <si>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</si>
  <si>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</si>
  <si>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</si>
  <si>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</si>
  <si>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</si>
  <si>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</si>
  <si>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</si>
  <si>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</si>
  <si>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</si>
  <si>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Cote d'Ivoire</t>
  </si>
  <si>
    <t>Croatia</t>
  </si>
  <si>
    <t>Cuba</t>
  </si>
  <si>
    <t>Cyprus</t>
  </si>
  <si>
    <t>Czech Republic</t>
  </si>
  <si>
    <t>Dem. Rep.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</si>
  <si>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</si>
  <si>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</si>
  <si>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</si>
  <si>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</si>
  <si>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</si>
  <si>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</si>
  <si>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</si>
  <si>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</si>
  <si>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</si>
  <si>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</si>
  <si>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</si>
  <si>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</si>
  <si>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</si>
  <si>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</si>
  <si>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</si>
  <si>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</si>
  <si>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</si>
  <si>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</si>
  <si>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</si>
  <si>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</si>
  <si>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</si>
  <si>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</si>
  <si>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</si>
  <si>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</si>
  <si>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</si>
  <si>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</si>
  <si>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</si>
  <si>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</si>
  <si>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</si>
  <si>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</si>
  <si>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</si>
  <si>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</si>
  <si>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</si>
  <si>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</si>
  <si>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</si>
  <si>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</si>
  <si>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</si>
  <si>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</si>
  <si>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</si>
  <si>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</si>
  <si>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</si>
  <si>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</si>
  <si>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</si>
  <si>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</si>
  <si>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</si>
  <si>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</si>
  <si>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</si>
  <si>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</si>
  <si>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</si>
  <si>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</si>
  <si>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</si>
  <si>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</si>
  <si>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</si>
  <si>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</si>
  <si>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</si>
  <si>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</si>
  <si>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</si>
  <si>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</si>
  <si>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</si>
  <si>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</si>
  <si>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</si>
  <si>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</si>
  <si>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</si>
  <si>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</si>
  <si>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</si>
  <si>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</si>
  <si>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</si>
  <si>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</si>
  <si>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</si>
  <si>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</si>
  <si>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</si>
  <si>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</si>
  <si>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</si>
  <si>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</si>
  <si>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</si>
  <si>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</si>
  <si>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</si>
  <si>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</si>
  <si>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</si>
  <si>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</si>
  <si>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</si>
  <si>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</si>
  <si>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</si>
  <si>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</si>
  <si>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</si>
  <si>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</si>
  <si>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</si>
  <si>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</si>
  <si>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</si>
  <si>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</si>
  <si>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</si>
  <si>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</si>
  <si>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</si>
  <si>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</si>
  <si>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</si>
  <si>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</si>
  <si>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</si>
  <si>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</si>
  <si>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</si>
  <si>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</si>
  <si>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</si>
  <si>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</si>
  <si>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</si>
  <si>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</si>
  <si>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</si>
  <si>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</si>
  <si>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</si>
  <si>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</si>
  <si>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</si>
  <si>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</si>
  <si>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</si>
  <si>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</si>
  <si>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</si>
  <si>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</si>
  <si>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</si>
  <si>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</si>
  <si>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Turkey</t>
  </si>
  <si>
    <t>Turkmenistan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</si>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</sst>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8"/>
  <sheetViews>
    <sheetView tabSelected="1" workbookViewId="0">
      <selection activeCell="D162" sqref="D162:R162"/>
    </sheetView>
  </sheetViews>
  <sheetFormatPr defaultRowHeight="14.5" x14ac:dyDescent="0.35"/>
  <cols>
    <col min="13" max="13" width="24.08984375" customWidth="1"/>
  </cols>
  <sheetData>
    <row r="1" spans="1: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33" x14ac:dyDescent="0.35">
      <c r="A2" s="1">
        <v>1</v>
      </c>
      <c r="B2" t="s">
        <v>19</v>
      </c>
      <c r="C2">
        <v>31</v>
      </c>
      <c r="D2">
        <v>138</v>
      </c>
      <c r="E2" t="s">
        <v>19</v>
      </c>
      <c r="F2">
        <v>43.6</v>
      </c>
      <c r="G2">
        <v>70</v>
      </c>
      <c r="H2" t="s">
        <v>19</v>
      </c>
      <c r="I2">
        <v>25.5</v>
      </c>
      <c r="J2">
        <v>149</v>
      </c>
      <c r="K2" t="s">
        <v>19</v>
      </c>
      <c r="L2">
        <v>37.74</v>
      </c>
      <c r="M2">
        <v>159</v>
      </c>
      <c r="N2" t="s">
        <v>19</v>
      </c>
      <c r="O2">
        <v>37.5</v>
      </c>
      <c r="P2">
        <v>168</v>
      </c>
      <c r="Q2" t="s">
        <v>19</v>
      </c>
      <c r="R2">
        <v>21.57</v>
      </c>
      <c r="S2">
        <v>170</v>
      </c>
      <c r="U2">
        <f>MIN(C2,F2,I2,L2,O2,R2)</f>
        <v>21.57</v>
      </c>
      <c r="V2">
        <f>MAX(C2,F2,I2,L2,O2,R2)</f>
        <v>43.6</v>
      </c>
      <c r="W2">
        <f>AVERAGE(C2,F2,I2,L2,O2,R2)</f>
        <v>32.818333333333335</v>
      </c>
      <c r="X2">
        <f>AVERAGE(U2:V2)</f>
        <v>32.585000000000001</v>
      </c>
      <c r="Y2">
        <f>X2-W2</f>
        <v>-0.23333333333333428</v>
      </c>
      <c r="AA2">
        <f>U2+V2-2*W2</f>
        <v>-0.46666666666666856</v>
      </c>
      <c r="AB2">
        <f>V2-U2</f>
        <v>22.03</v>
      </c>
      <c r="AE2">
        <f>AA2/AB2</f>
        <v>-2.118323498259957E-2</v>
      </c>
      <c r="AG2">
        <f>IF(AE2&lt;0,-AE2,AE2)</f>
        <v>2.118323498259957E-2</v>
      </c>
    </row>
    <row r="3" spans="1:33" x14ac:dyDescent="0.35">
      <c r="A3" s="1">
        <v>2</v>
      </c>
      <c r="B3" t="s">
        <v>20</v>
      </c>
      <c r="C3">
        <v>52.2</v>
      </c>
      <c r="D3">
        <v>46</v>
      </c>
      <c r="E3" t="s">
        <v>20</v>
      </c>
      <c r="F3">
        <v>47.1</v>
      </c>
      <c r="G3">
        <v>54</v>
      </c>
      <c r="H3" t="s">
        <v>20</v>
      </c>
      <c r="I3">
        <v>49</v>
      </c>
      <c r="J3">
        <v>59</v>
      </c>
      <c r="K3" t="s">
        <v>20</v>
      </c>
      <c r="L3">
        <v>65.459999999999994</v>
      </c>
      <c r="M3">
        <v>38</v>
      </c>
      <c r="N3" t="s">
        <v>20</v>
      </c>
      <c r="O3">
        <v>74.38</v>
      </c>
      <c r="P3">
        <v>61</v>
      </c>
      <c r="Q3" t="s">
        <v>20</v>
      </c>
      <c r="R3">
        <v>54.73</v>
      </c>
      <c r="S3">
        <v>67</v>
      </c>
      <c r="U3">
        <f t="shared" ref="U3:U66" si="0">MIN(C3,F3,I3,L3,O3,R3)</f>
        <v>47.1</v>
      </c>
      <c r="V3">
        <f t="shared" ref="V3:V66" si="1">MAX(C3,F3,I3,L3,O3,R3)</f>
        <v>74.38</v>
      </c>
      <c r="W3">
        <f t="shared" ref="W3:W66" si="2">AVERAGE(C3,F3,I3,L3,O3,R3)</f>
        <v>57.145000000000003</v>
      </c>
      <c r="X3">
        <f t="shared" ref="X3:X66" si="3">AVERAGE(U3:V3)</f>
        <v>60.739999999999995</v>
      </c>
      <c r="Y3">
        <f t="shared" ref="Y3:Y66" si="4">X3-W3</f>
        <v>3.5949999999999918</v>
      </c>
      <c r="AA3">
        <f t="shared" ref="AA3:AA66" si="5">U3+V3-2*W3</f>
        <v>7.1899999999999835</v>
      </c>
      <c r="AB3">
        <f t="shared" ref="AB3:AB66" si="6">V3-U3</f>
        <v>27.279999999999994</v>
      </c>
      <c r="AE3">
        <f t="shared" ref="AE3:AE66" si="7">AA3/AB3</f>
        <v>0.26356304985337187</v>
      </c>
      <c r="AG3">
        <f t="shared" ref="AG3:AG66" si="8">IF(AE3&lt;0,-AE3,AE3)</f>
        <v>0.26356304985337187</v>
      </c>
    </row>
    <row r="4" spans="1:33" x14ac:dyDescent="0.35">
      <c r="A4" s="1">
        <v>3</v>
      </c>
      <c r="B4" t="s">
        <v>21</v>
      </c>
      <c r="C4">
        <v>41.7</v>
      </c>
      <c r="D4">
        <v>95</v>
      </c>
      <c r="E4" t="s">
        <v>21</v>
      </c>
      <c r="F4">
        <v>29.6</v>
      </c>
      <c r="G4">
        <v>126</v>
      </c>
      <c r="H4" t="s">
        <v>21</v>
      </c>
      <c r="I4">
        <v>44.8</v>
      </c>
      <c r="J4">
        <v>76</v>
      </c>
      <c r="K4" t="s">
        <v>21</v>
      </c>
      <c r="L4">
        <v>57.18</v>
      </c>
      <c r="M4">
        <v>85</v>
      </c>
      <c r="N4" t="s">
        <v>21</v>
      </c>
      <c r="O4">
        <v>70.28</v>
      </c>
      <c r="P4">
        <v>83</v>
      </c>
      <c r="Q4" t="s">
        <v>21</v>
      </c>
      <c r="R4">
        <v>50.08</v>
      </c>
      <c r="S4">
        <v>90</v>
      </c>
      <c r="U4">
        <f t="shared" si="0"/>
        <v>29.6</v>
      </c>
      <c r="V4">
        <f t="shared" si="1"/>
        <v>70.28</v>
      </c>
      <c r="W4">
        <f t="shared" si="2"/>
        <v>48.94</v>
      </c>
      <c r="X4">
        <f t="shared" si="3"/>
        <v>49.94</v>
      </c>
      <c r="Y4">
        <f t="shared" si="4"/>
        <v>1</v>
      </c>
      <c r="AA4">
        <f t="shared" si="5"/>
        <v>2</v>
      </c>
      <c r="AB4">
        <f t="shared" si="6"/>
        <v>40.68</v>
      </c>
      <c r="AE4">
        <f t="shared" si="7"/>
        <v>4.9164208456243856E-2</v>
      </c>
      <c r="AG4">
        <f t="shared" si="8"/>
        <v>4.9164208456243856E-2</v>
      </c>
    </row>
    <row r="5" spans="1:33" x14ac:dyDescent="0.35">
      <c r="A5" s="1">
        <v>4</v>
      </c>
      <c r="B5" t="s">
        <v>22</v>
      </c>
      <c r="C5">
        <v>40.1</v>
      </c>
      <c r="D5">
        <v>102</v>
      </c>
      <c r="E5" t="s">
        <v>22</v>
      </c>
      <c r="F5">
        <v>30.5</v>
      </c>
      <c r="G5">
        <v>123</v>
      </c>
      <c r="H5" t="s">
        <v>22</v>
      </c>
      <c r="I5">
        <v>29.7</v>
      </c>
      <c r="J5">
        <v>132</v>
      </c>
      <c r="K5" t="s">
        <v>22</v>
      </c>
      <c r="L5">
        <v>37.44</v>
      </c>
      <c r="M5">
        <v>161</v>
      </c>
      <c r="N5" t="s">
        <v>22</v>
      </c>
      <c r="O5">
        <v>51.32</v>
      </c>
      <c r="P5">
        <v>139</v>
      </c>
      <c r="Q5" t="s">
        <v>22</v>
      </c>
      <c r="R5">
        <v>28.69</v>
      </c>
      <c r="S5">
        <v>156</v>
      </c>
      <c r="U5">
        <f t="shared" si="0"/>
        <v>28.69</v>
      </c>
      <c r="V5">
        <f t="shared" si="1"/>
        <v>51.32</v>
      </c>
      <c r="W5">
        <f t="shared" si="2"/>
        <v>36.291666666666664</v>
      </c>
      <c r="X5">
        <f t="shared" si="3"/>
        <v>40.005000000000003</v>
      </c>
      <c r="Y5">
        <f t="shared" si="4"/>
        <v>3.7133333333333383</v>
      </c>
      <c r="AA5">
        <f t="shared" si="5"/>
        <v>7.4266666666666765</v>
      </c>
      <c r="AB5">
        <f t="shared" si="6"/>
        <v>22.63</v>
      </c>
      <c r="AE5">
        <f t="shared" si="7"/>
        <v>0.328177934894683</v>
      </c>
      <c r="AG5">
        <f t="shared" si="8"/>
        <v>0.328177934894683</v>
      </c>
    </row>
    <row r="6" spans="1:33" x14ac:dyDescent="0.35">
      <c r="A6" s="1">
        <v>5</v>
      </c>
      <c r="B6" t="s">
        <v>23</v>
      </c>
      <c r="C6">
        <v>55.6</v>
      </c>
      <c r="D6">
        <v>37</v>
      </c>
      <c r="E6" t="s">
        <v>23</v>
      </c>
      <c r="F6">
        <v>52.4</v>
      </c>
      <c r="G6">
        <v>36</v>
      </c>
      <c r="H6" t="s">
        <v>23</v>
      </c>
      <c r="I6">
        <v>48.5</v>
      </c>
      <c r="J6">
        <v>60</v>
      </c>
      <c r="K6" t="s">
        <v>23</v>
      </c>
      <c r="L6">
        <v>59.18</v>
      </c>
      <c r="M6">
        <v>74</v>
      </c>
      <c r="N6" t="s">
        <v>23</v>
      </c>
      <c r="O6">
        <v>62.55</v>
      </c>
      <c r="P6">
        <v>117</v>
      </c>
      <c r="Q6" t="s">
        <v>23</v>
      </c>
      <c r="R6">
        <v>48.89</v>
      </c>
      <c r="S6">
        <v>94</v>
      </c>
      <c r="U6">
        <f t="shared" si="0"/>
        <v>48.5</v>
      </c>
      <c r="V6">
        <f t="shared" si="1"/>
        <v>62.55</v>
      </c>
      <c r="W6">
        <f t="shared" si="2"/>
        <v>54.52</v>
      </c>
      <c r="X6">
        <f t="shared" si="3"/>
        <v>55.524999999999999</v>
      </c>
      <c r="Y6">
        <f t="shared" si="4"/>
        <v>1.0049999999999955</v>
      </c>
      <c r="AA6">
        <f t="shared" si="5"/>
        <v>2.0099999999999909</v>
      </c>
      <c r="AB6">
        <f t="shared" si="6"/>
        <v>14.049999999999997</v>
      </c>
      <c r="AE6">
        <f t="shared" si="7"/>
        <v>0.14306049822063996</v>
      </c>
      <c r="AG6">
        <f t="shared" si="8"/>
        <v>0.14306049822063996</v>
      </c>
    </row>
    <row r="7" spans="1:33" x14ac:dyDescent="0.35">
      <c r="A7" s="1">
        <v>6</v>
      </c>
      <c r="B7" t="s">
        <v>24</v>
      </c>
      <c r="C7">
        <v>47</v>
      </c>
      <c r="D7">
        <v>67</v>
      </c>
      <c r="E7" t="s">
        <v>24</v>
      </c>
      <c r="F7">
        <v>41.1</v>
      </c>
      <c r="G7">
        <v>77</v>
      </c>
      <c r="H7" t="s">
        <v>24</v>
      </c>
      <c r="I7">
        <v>52.2</v>
      </c>
      <c r="J7">
        <v>52</v>
      </c>
      <c r="K7" t="s">
        <v>24</v>
      </c>
      <c r="L7">
        <v>59.3</v>
      </c>
      <c r="M7">
        <v>72</v>
      </c>
      <c r="N7" t="s">
        <v>24</v>
      </c>
      <c r="O7">
        <v>79.84</v>
      </c>
      <c r="P7">
        <v>43</v>
      </c>
      <c r="Q7" t="s">
        <v>24</v>
      </c>
      <c r="R7">
        <v>49.55</v>
      </c>
      <c r="S7">
        <v>91</v>
      </c>
      <c r="U7">
        <f t="shared" si="0"/>
        <v>41.1</v>
      </c>
      <c r="V7">
        <f t="shared" si="1"/>
        <v>79.84</v>
      </c>
      <c r="W7">
        <f t="shared" si="2"/>
        <v>54.831666666666678</v>
      </c>
      <c r="X7">
        <f t="shared" si="3"/>
        <v>60.47</v>
      </c>
      <c r="Y7">
        <f t="shared" si="4"/>
        <v>5.6383333333333212</v>
      </c>
      <c r="AA7">
        <f t="shared" si="5"/>
        <v>11.276666666666642</v>
      </c>
      <c r="AB7">
        <f t="shared" si="6"/>
        <v>38.74</v>
      </c>
      <c r="AE7">
        <f t="shared" si="7"/>
        <v>0.29108587162278371</v>
      </c>
      <c r="AG7">
        <f t="shared" si="8"/>
        <v>0.29108587162278371</v>
      </c>
    </row>
    <row r="8" spans="1:33" x14ac:dyDescent="0.35">
      <c r="A8" s="1">
        <v>7</v>
      </c>
      <c r="B8" t="s">
        <v>25</v>
      </c>
      <c r="C8">
        <v>44.9</v>
      </c>
      <c r="D8">
        <v>77</v>
      </c>
      <c r="E8" t="s">
        <v>25</v>
      </c>
      <c r="F8">
        <v>48.3</v>
      </c>
      <c r="G8">
        <v>49</v>
      </c>
      <c r="H8" t="s">
        <v>25</v>
      </c>
      <c r="I8">
        <v>52.3</v>
      </c>
      <c r="J8">
        <v>51</v>
      </c>
      <c r="K8" t="s">
        <v>25</v>
      </c>
      <c r="L8">
        <v>62.07</v>
      </c>
      <c r="M8">
        <v>61</v>
      </c>
      <c r="N8" t="s">
        <v>25</v>
      </c>
      <c r="O8">
        <v>81.599999999999994</v>
      </c>
      <c r="P8">
        <v>37</v>
      </c>
      <c r="Q8" t="s">
        <v>25</v>
      </c>
      <c r="R8">
        <v>61.67</v>
      </c>
      <c r="S8">
        <v>48</v>
      </c>
      <c r="U8">
        <f t="shared" si="0"/>
        <v>44.9</v>
      </c>
      <c r="V8">
        <f t="shared" si="1"/>
        <v>81.599999999999994</v>
      </c>
      <c r="W8">
        <f t="shared" si="2"/>
        <v>58.473333333333329</v>
      </c>
      <c r="X8">
        <f t="shared" si="3"/>
        <v>63.25</v>
      </c>
      <c r="Y8">
        <f t="shared" si="4"/>
        <v>4.7766666666666708</v>
      </c>
      <c r="AA8">
        <f t="shared" si="5"/>
        <v>9.5533333333333417</v>
      </c>
      <c r="AB8">
        <f t="shared" si="6"/>
        <v>36.699999999999996</v>
      </c>
      <c r="AE8">
        <f t="shared" si="7"/>
        <v>0.26030881017257063</v>
      </c>
      <c r="AG8">
        <f t="shared" si="8"/>
        <v>0.26030881017257063</v>
      </c>
    </row>
    <row r="9" spans="1:33" x14ac:dyDescent="0.35">
      <c r="A9" s="1">
        <v>8</v>
      </c>
      <c r="B9" t="s">
        <v>26</v>
      </c>
      <c r="C9">
        <v>63.1</v>
      </c>
      <c r="D9">
        <v>22</v>
      </c>
      <c r="E9" t="s">
        <v>26</v>
      </c>
      <c r="F9">
        <v>60.1</v>
      </c>
      <c r="G9">
        <v>17</v>
      </c>
      <c r="H9" t="s">
        <v>26</v>
      </c>
      <c r="I9">
        <v>74.900000000000006</v>
      </c>
      <c r="J9">
        <v>13</v>
      </c>
      <c r="K9" t="s">
        <v>26</v>
      </c>
      <c r="L9">
        <v>74.12</v>
      </c>
      <c r="M9">
        <v>21</v>
      </c>
      <c r="N9" t="s">
        <v>26</v>
      </c>
      <c r="O9">
        <v>87.22</v>
      </c>
      <c r="P9">
        <v>13</v>
      </c>
      <c r="Q9" t="s">
        <v>26</v>
      </c>
      <c r="R9">
        <v>82.4</v>
      </c>
      <c r="S9">
        <v>3</v>
      </c>
      <c r="U9">
        <f t="shared" si="0"/>
        <v>60.1</v>
      </c>
      <c r="V9">
        <f t="shared" si="1"/>
        <v>87.22</v>
      </c>
      <c r="W9">
        <f t="shared" si="2"/>
        <v>73.64</v>
      </c>
      <c r="X9">
        <f t="shared" si="3"/>
        <v>73.66</v>
      </c>
      <c r="Y9">
        <f t="shared" si="4"/>
        <v>1.9999999999996021E-2</v>
      </c>
      <c r="AA9">
        <f t="shared" si="5"/>
        <v>3.9999999999992042E-2</v>
      </c>
      <c r="AB9">
        <f t="shared" si="6"/>
        <v>27.119999999999997</v>
      </c>
      <c r="AE9">
        <f t="shared" si="7"/>
        <v>1.4749262536870222E-3</v>
      </c>
      <c r="AG9">
        <f t="shared" si="8"/>
        <v>1.4749262536870222E-3</v>
      </c>
    </row>
    <row r="10" spans="1:33" x14ac:dyDescent="0.35">
      <c r="A10" s="1">
        <v>9</v>
      </c>
      <c r="B10" t="s">
        <v>27</v>
      </c>
      <c r="C10">
        <v>68.900000000000006</v>
      </c>
      <c r="D10">
        <v>8</v>
      </c>
      <c r="E10" t="s">
        <v>27</v>
      </c>
      <c r="F10">
        <v>66.5</v>
      </c>
      <c r="G10">
        <v>8</v>
      </c>
      <c r="H10" t="s">
        <v>27</v>
      </c>
      <c r="I10">
        <v>79.599999999999994</v>
      </c>
      <c r="J10">
        <v>6</v>
      </c>
      <c r="K10" t="s">
        <v>27</v>
      </c>
      <c r="L10">
        <v>78.97</v>
      </c>
      <c r="M10">
        <v>8</v>
      </c>
      <c r="N10" t="s">
        <v>27</v>
      </c>
      <c r="O10">
        <v>86.64</v>
      </c>
      <c r="P10">
        <v>18</v>
      </c>
      <c r="Q10" t="s">
        <v>27</v>
      </c>
      <c r="R10">
        <v>78.319999999999993</v>
      </c>
      <c r="S10">
        <v>8</v>
      </c>
      <c r="U10">
        <f t="shared" si="0"/>
        <v>66.5</v>
      </c>
      <c r="V10">
        <f t="shared" si="1"/>
        <v>86.64</v>
      </c>
      <c r="W10">
        <f t="shared" si="2"/>
        <v>76.48833333333333</v>
      </c>
      <c r="X10">
        <f t="shared" si="3"/>
        <v>76.569999999999993</v>
      </c>
      <c r="Y10">
        <f t="shared" si="4"/>
        <v>8.1666666666663446E-2</v>
      </c>
      <c r="AA10">
        <f t="shared" si="5"/>
        <v>0.16333333333332689</v>
      </c>
      <c r="AB10">
        <f t="shared" si="6"/>
        <v>20.14</v>
      </c>
      <c r="AE10">
        <f t="shared" si="7"/>
        <v>8.1098973849715438E-3</v>
      </c>
      <c r="AG10">
        <f t="shared" si="8"/>
        <v>8.1098973849715438E-3</v>
      </c>
    </row>
    <row r="11" spans="1:33" x14ac:dyDescent="0.35">
      <c r="A11" s="1">
        <v>10</v>
      </c>
      <c r="B11" t="s">
        <v>28</v>
      </c>
      <c r="C11">
        <v>40.5</v>
      </c>
      <c r="D11">
        <v>99</v>
      </c>
      <c r="E11" t="s">
        <v>28</v>
      </c>
      <c r="F11">
        <v>38.6</v>
      </c>
      <c r="G11">
        <v>87</v>
      </c>
      <c r="H11" t="s">
        <v>28</v>
      </c>
      <c r="I11">
        <v>46.5</v>
      </c>
      <c r="J11">
        <v>68</v>
      </c>
      <c r="K11" t="s">
        <v>28</v>
      </c>
      <c r="L11">
        <v>62.33</v>
      </c>
      <c r="M11">
        <v>57</v>
      </c>
      <c r="N11" t="s">
        <v>28</v>
      </c>
      <c r="O11">
        <v>83.78</v>
      </c>
      <c r="P11">
        <v>31</v>
      </c>
      <c r="Q11" t="s">
        <v>28</v>
      </c>
      <c r="R11">
        <v>55.47</v>
      </c>
      <c r="S11">
        <v>63</v>
      </c>
      <c r="U11">
        <f t="shared" si="0"/>
        <v>38.6</v>
      </c>
      <c r="V11">
        <f t="shared" si="1"/>
        <v>83.78</v>
      </c>
      <c r="W11">
        <f t="shared" si="2"/>
        <v>54.530000000000008</v>
      </c>
      <c r="X11">
        <f t="shared" si="3"/>
        <v>61.19</v>
      </c>
      <c r="Y11">
        <f t="shared" si="4"/>
        <v>6.6599999999999895</v>
      </c>
      <c r="AA11">
        <f t="shared" si="5"/>
        <v>13.319999999999979</v>
      </c>
      <c r="AB11">
        <f t="shared" si="6"/>
        <v>45.18</v>
      </c>
      <c r="AE11">
        <f t="shared" si="7"/>
        <v>0.29482071713147362</v>
      </c>
      <c r="AG11">
        <f t="shared" si="8"/>
        <v>0.29482071713147362</v>
      </c>
    </row>
    <row r="12" spans="1:33" x14ac:dyDescent="0.35">
      <c r="A12" s="1">
        <v>11</v>
      </c>
      <c r="B12" t="s">
        <v>29</v>
      </c>
      <c r="C12">
        <v>55.9</v>
      </c>
      <c r="D12">
        <v>36</v>
      </c>
      <c r="E12" t="s">
        <v>29</v>
      </c>
      <c r="F12">
        <v>56.2</v>
      </c>
      <c r="G12">
        <v>28</v>
      </c>
      <c r="H12" t="s">
        <v>29</v>
      </c>
      <c r="I12">
        <v>43.5</v>
      </c>
      <c r="J12">
        <v>83</v>
      </c>
      <c r="K12" t="s">
        <v>29</v>
      </c>
      <c r="L12">
        <v>54.99</v>
      </c>
      <c r="M12">
        <v>94</v>
      </c>
      <c r="N12" t="s">
        <v>29</v>
      </c>
      <c r="O12">
        <v>69.34</v>
      </c>
      <c r="P12">
        <v>91</v>
      </c>
      <c r="Q12" t="s">
        <v>29</v>
      </c>
      <c r="R12">
        <v>46.58</v>
      </c>
      <c r="S12">
        <v>103</v>
      </c>
      <c r="U12">
        <f t="shared" si="0"/>
        <v>43.5</v>
      </c>
      <c r="V12">
        <f t="shared" si="1"/>
        <v>69.34</v>
      </c>
      <c r="W12">
        <f t="shared" si="2"/>
        <v>54.418333333333329</v>
      </c>
      <c r="X12">
        <f t="shared" si="3"/>
        <v>56.42</v>
      </c>
      <c r="Y12">
        <f t="shared" si="4"/>
        <v>2.0016666666666723</v>
      </c>
      <c r="AA12">
        <f t="shared" si="5"/>
        <v>4.0033333333333445</v>
      </c>
      <c r="AB12">
        <f t="shared" si="6"/>
        <v>25.840000000000003</v>
      </c>
      <c r="AE12">
        <f t="shared" si="7"/>
        <v>0.1549277605779158</v>
      </c>
      <c r="AG12">
        <f t="shared" si="8"/>
        <v>0.1549277605779158</v>
      </c>
    </row>
    <row r="13" spans="1:33" x14ac:dyDescent="0.35">
      <c r="A13" s="1">
        <v>12</v>
      </c>
      <c r="B13" t="s">
        <v>30</v>
      </c>
      <c r="C13">
        <v>35.299999999999997</v>
      </c>
      <c r="D13">
        <v>125</v>
      </c>
      <c r="E13" t="s">
        <v>30</v>
      </c>
      <c r="F13">
        <v>42</v>
      </c>
      <c r="G13">
        <v>75</v>
      </c>
      <c r="H13" t="s">
        <v>30</v>
      </c>
      <c r="I13">
        <v>51</v>
      </c>
      <c r="J13">
        <v>54</v>
      </c>
      <c r="K13" t="s">
        <v>30</v>
      </c>
      <c r="L13">
        <v>55.15</v>
      </c>
      <c r="M13">
        <v>92</v>
      </c>
      <c r="N13" t="s">
        <v>30</v>
      </c>
      <c r="O13">
        <v>70.069999999999993</v>
      </c>
      <c r="P13">
        <v>85</v>
      </c>
      <c r="Q13" t="s">
        <v>30</v>
      </c>
      <c r="R13">
        <v>51.83</v>
      </c>
      <c r="S13">
        <v>80</v>
      </c>
      <c r="U13">
        <f t="shared" si="0"/>
        <v>35.299999999999997</v>
      </c>
      <c r="V13">
        <f t="shared" si="1"/>
        <v>70.069999999999993</v>
      </c>
      <c r="W13">
        <f t="shared" si="2"/>
        <v>50.891666666666673</v>
      </c>
      <c r="X13">
        <f t="shared" si="3"/>
        <v>52.684999999999995</v>
      </c>
      <c r="Y13">
        <f t="shared" si="4"/>
        <v>1.7933333333333223</v>
      </c>
      <c r="AA13">
        <f t="shared" si="5"/>
        <v>3.5866666666666447</v>
      </c>
      <c r="AB13">
        <f t="shared" si="6"/>
        <v>34.769999999999996</v>
      </c>
      <c r="AE13">
        <f t="shared" si="7"/>
        <v>0.10315406001342091</v>
      </c>
      <c r="AG13">
        <f t="shared" si="8"/>
        <v>0.10315406001342091</v>
      </c>
    </row>
    <row r="14" spans="1:33" x14ac:dyDescent="0.35">
      <c r="A14" s="1">
        <v>13</v>
      </c>
      <c r="B14" t="s">
        <v>31</v>
      </c>
      <c r="C14">
        <v>28.1</v>
      </c>
      <c r="D14">
        <v>142</v>
      </c>
      <c r="E14" t="s">
        <v>31</v>
      </c>
      <c r="F14">
        <v>23.1</v>
      </c>
      <c r="G14">
        <v>142</v>
      </c>
      <c r="H14" t="s">
        <v>31</v>
      </c>
      <c r="I14">
        <v>29</v>
      </c>
      <c r="J14">
        <v>136</v>
      </c>
      <c r="K14" t="s">
        <v>31</v>
      </c>
      <c r="L14">
        <v>29.56</v>
      </c>
      <c r="M14">
        <v>170</v>
      </c>
      <c r="N14" t="s">
        <v>31</v>
      </c>
      <c r="O14">
        <v>41.77</v>
      </c>
      <c r="P14">
        <v>165</v>
      </c>
      <c r="Q14" t="s">
        <v>31</v>
      </c>
      <c r="R14">
        <v>25.61</v>
      </c>
      <c r="S14">
        <v>165</v>
      </c>
      <c r="U14">
        <f t="shared" si="0"/>
        <v>23.1</v>
      </c>
      <c r="V14">
        <f t="shared" si="1"/>
        <v>41.77</v>
      </c>
      <c r="W14">
        <f t="shared" si="2"/>
        <v>29.52333333333333</v>
      </c>
      <c r="X14">
        <f t="shared" si="3"/>
        <v>32.435000000000002</v>
      </c>
      <c r="Y14">
        <f t="shared" si="4"/>
        <v>2.9116666666666724</v>
      </c>
      <c r="AA14">
        <f t="shared" si="5"/>
        <v>5.8233333333333448</v>
      </c>
      <c r="AB14">
        <f t="shared" si="6"/>
        <v>18.670000000000002</v>
      </c>
      <c r="AE14">
        <f t="shared" si="7"/>
        <v>0.31190858775218772</v>
      </c>
      <c r="AG14">
        <f t="shared" si="8"/>
        <v>0.31190858775218772</v>
      </c>
    </row>
    <row r="15" spans="1:33" x14ac:dyDescent="0.35">
      <c r="A15" s="1">
        <v>14</v>
      </c>
      <c r="B15" t="s">
        <v>32</v>
      </c>
      <c r="C15">
        <v>53.1</v>
      </c>
      <c r="D15">
        <v>42</v>
      </c>
      <c r="E15" t="s">
        <v>32</v>
      </c>
      <c r="F15">
        <v>53.2</v>
      </c>
      <c r="G15">
        <v>35</v>
      </c>
      <c r="H15" t="s">
        <v>32</v>
      </c>
      <c r="I15">
        <v>45.6</v>
      </c>
      <c r="J15">
        <v>72</v>
      </c>
      <c r="K15" t="s">
        <v>32</v>
      </c>
      <c r="L15">
        <v>55.76</v>
      </c>
      <c r="M15">
        <v>89</v>
      </c>
      <c r="N15" t="s">
        <v>32</v>
      </c>
      <c r="O15">
        <v>54.96</v>
      </c>
      <c r="P15">
        <v>134</v>
      </c>
      <c r="Q15" t="s">
        <v>32</v>
      </c>
      <c r="R15">
        <v>45.5</v>
      </c>
      <c r="S15">
        <v>106</v>
      </c>
      <c r="U15">
        <f t="shared" si="0"/>
        <v>45.5</v>
      </c>
      <c r="V15">
        <f t="shared" si="1"/>
        <v>55.76</v>
      </c>
      <c r="W15">
        <f t="shared" si="2"/>
        <v>51.353333333333332</v>
      </c>
      <c r="X15">
        <f t="shared" si="3"/>
        <v>50.629999999999995</v>
      </c>
      <c r="Y15">
        <f t="shared" si="4"/>
        <v>-0.72333333333333627</v>
      </c>
      <c r="AA15">
        <f t="shared" si="5"/>
        <v>-1.4466666666666725</v>
      </c>
      <c r="AB15">
        <f t="shared" si="6"/>
        <v>10.259999999999998</v>
      </c>
      <c r="AE15">
        <f t="shared" si="7"/>
        <v>-0.1410006497725802</v>
      </c>
      <c r="AG15">
        <f t="shared" si="8"/>
        <v>0.1410006497725802</v>
      </c>
    </row>
    <row r="16" spans="1:33" x14ac:dyDescent="0.35">
      <c r="A16" s="1">
        <v>15</v>
      </c>
      <c r="B16" t="s">
        <v>33</v>
      </c>
      <c r="C16">
        <v>58.2</v>
      </c>
      <c r="D16">
        <v>31</v>
      </c>
      <c r="E16" t="s">
        <v>33</v>
      </c>
      <c r="F16">
        <v>48.5</v>
      </c>
      <c r="G16">
        <v>48</v>
      </c>
      <c r="H16" t="s">
        <v>33</v>
      </c>
      <c r="I16">
        <v>53</v>
      </c>
      <c r="J16">
        <v>47</v>
      </c>
      <c r="K16" t="s">
        <v>33</v>
      </c>
      <c r="L16">
        <v>64.98</v>
      </c>
      <c r="M16">
        <v>42</v>
      </c>
      <c r="N16" t="s">
        <v>33</v>
      </c>
      <c r="O16">
        <v>82.3</v>
      </c>
      <c r="P16">
        <v>35</v>
      </c>
      <c r="Q16" t="s">
        <v>33</v>
      </c>
      <c r="R16">
        <v>67.69</v>
      </c>
      <c r="S16">
        <v>32</v>
      </c>
      <c r="U16">
        <f t="shared" si="0"/>
        <v>48.5</v>
      </c>
      <c r="V16">
        <f t="shared" si="1"/>
        <v>82.3</v>
      </c>
      <c r="W16">
        <f t="shared" si="2"/>
        <v>62.445</v>
      </c>
      <c r="X16">
        <f t="shared" si="3"/>
        <v>65.400000000000006</v>
      </c>
      <c r="Y16">
        <f t="shared" si="4"/>
        <v>2.9550000000000054</v>
      </c>
      <c r="AA16">
        <f t="shared" si="5"/>
        <v>5.9100000000000108</v>
      </c>
      <c r="AB16">
        <f t="shared" si="6"/>
        <v>33.799999999999997</v>
      </c>
      <c r="AE16">
        <f t="shared" si="7"/>
        <v>0.17485207100591749</v>
      </c>
      <c r="AG16">
        <f t="shared" si="8"/>
        <v>0.17485207100591749</v>
      </c>
    </row>
    <row r="17" spans="1:33" x14ac:dyDescent="0.35">
      <c r="A17" s="1">
        <v>16</v>
      </c>
      <c r="B17" t="s">
        <v>34</v>
      </c>
      <c r="C17">
        <v>66.8</v>
      </c>
      <c r="D17">
        <v>14</v>
      </c>
      <c r="E17" t="s">
        <v>34</v>
      </c>
      <c r="F17">
        <v>58.2</v>
      </c>
      <c r="G17">
        <v>21</v>
      </c>
      <c r="H17" t="s">
        <v>34</v>
      </c>
      <c r="I17">
        <v>73.3</v>
      </c>
      <c r="J17">
        <v>15</v>
      </c>
      <c r="K17" t="s">
        <v>34</v>
      </c>
      <c r="L17">
        <v>77.38</v>
      </c>
      <c r="M17">
        <v>15</v>
      </c>
      <c r="N17" t="s">
        <v>34</v>
      </c>
      <c r="O17">
        <v>80.150000000000006</v>
      </c>
      <c r="P17">
        <v>41</v>
      </c>
      <c r="Q17" t="s">
        <v>34</v>
      </c>
      <c r="R17">
        <v>66.61</v>
      </c>
      <c r="S17">
        <v>36</v>
      </c>
      <c r="U17">
        <f t="shared" si="0"/>
        <v>58.2</v>
      </c>
      <c r="V17">
        <f t="shared" si="1"/>
        <v>80.150000000000006</v>
      </c>
      <c r="W17">
        <f t="shared" si="2"/>
        <v>70.40666666666668</v>
      </c>
      <c r="X17">
        <f t="shared" si="3"/>
        <v>69.175000000000011</v>
      </c>
      <c r="Y17">
        <f t="shared" si="4"/>
        <v>-1.2316666666666691</v>
      </c>
      <c r="AA17">
        <f t="shared" si="5"/>
        <v>-2.4633333333333383</v>
      </c>
      <c r="AB17">
        <f t="shared" si="6"/>
        <v>21.950000000000003</v>
      </c>
      <c r="AE17">
        <f t="shared" si="7"/>
        <v>-0.11222475322703133</v>
      </c>
      <c r="AG17">
        <f t="shared" si="8"/>
        <v>0.11222475322703133</v>
      </c>
    </row>
    <row r="18" spans="1:33" x14ac:dyDescent="0.35">
      <c r="A18" s="1">
        <v>17</v>
      </c>
      <c r="B18" t="s">
        <v>35</v>
      </c>
      <c r="C18">
        <v>47.4</v>
      </c>
      <c r="D18">
        <v>65</v>
      </c>
      <c r="E18" t="s">
        <v>35</v>
      </c>
      <c r="F18">
        <v>50</v>
      </c>
      <c r="G18">
        <v>44</v>
      </c>
      <c r="H18" t="s">
        <v>35</v>
      </c>
      <c r="I18">
        <v>41.9</v>
      </c>
      <c r="J18">
        <v>88</v>
      </c>
      <c r="K18" t="s">
        <v>35</v>
      </c>
      <c r="L18">
        <v>57.79</v>
      </c>
      <c r="M18">
        <v>79</v>
      </c>
      <c r="N18" t="s">
        <v>35</v>
      </c>
      <c r="O18">
        <v>73.55</v>
      </c>
      <c r="P18">
        <v>68</v>
      </c>
      <c r="Q18" t="s">
        <v>35</v>
      </c>
      <c r="R18">
        <v>50.46</v>
      </c>
      <c r="S18">
        <v>86</v>
      </c>
      <c r="U18">
        <f t="shared" si="0"/>
        <v>41.9</v>
      </c>
      <c r="V18">
        <f t="shared" si="1"/>
        <v>73.55</v>
      </c>
      <c r="W18">
        <f t="shared" si="2"/>
        <v>53.516666666666659</v>
      </c>
      <c r="X18">
        <f t="shared" si="3"/>
        <v>57.724999999999994</v>
      </c>
      <c r="Y18">
        <f t="shared" si="4"/>
        <v>4.2083333333333357</v>
      </c>
      <c r="AA18">
        <f t="shared" si="5"/>
        <v>8.4166666666666714</v>
      </c>
      <c r="AB18">
        <f t="shared" si="6"/>
        <v>31.65</v>
      </c>
      <c r="AE18">
        <f t="shared" si="7"/>
        <v>0.26592943654555046</v>
      </c>
      <c r="AG18">
        <f t="shared" si="8"/>
        <v>0.26592943654555046</v>
      </c>
    </row>
    <row r="19" spans="1:33" x14ac:dyDescent="0.35">
      <c r="A19" s="1">
        <v>18</v>
      </c>
      <c r="B19" t="s">
        <v>36</v>
      </c>
      <c r="C19">
        <v>37.799999999999997</v>
      </c>
      <c r="D19">
        <v>114</v>
      </c>
      <c r="E19" t="s">
        <v>36</v>
      </c>
      <c r="F19">
        <v>29.6</v>
      </c>
      <c r="G19">
        <v>126</v>
      </c>
      <c r="H19" t="s">
        <v>36</v>
      </c>
      <c r="I19">
        <v>30</v>
      </c>
      <c r="J19">
        <v>131</v>
      </c>
      <c r="K19" t="s">
        <v>36</v>
      </c>
      <c r="L19">
        <v>38.17</v>
      </c>
      <c r="M19">
        <v>158</v>
      </c>
      <c r="N19" t="s">
        <v>36</v>
      </c>
      <c r="O19">
        <v>43.66</v>
      </c>
      <c r="P19">
        <v>158</v>
      </c>
      <c r="Q19" t="s">
        <v>36</v>
      </c>
      <c r="R19">
        <v>32.42</v>
      </c>
      <c r="S19">
        <v>147</v>
      </c>
      <c r="U19">
        <f t="shared" si="0"/>
        <v>29.6</v>
      </c>
      <c r="V19">
        <f t="shared" si="1"/>
        <v>43.66</v>
      </c>
      <c r="W19">
        <f t="shared" si="2"/>
        <v>35.274999999999999</v>
      </c>
      <c r="X19">
        <f t="shared" si="3"/>
        <v>36.629999999999995</v>
      </c>
      <c r="Y19">
        <f t="shared" si="4"/>
        <v>1.3549999999999969</v>
      </c>
      <c r="AA19">
        <f t="shared" si="5"/>
        <v>2.7099999999999937</v>
      </c>
      <c r="AB19">
        <f t="shared" si="6"/>
        <v>14.059999999999995</v>
      </c>
      <c r="AE19">
        <f t="shared" si="7"/>
        <v>0.19274537695590288</v>
      </c>
      <c r="AG19">
        <f t="shared" si="8"/>
        <v>0.19274537695590288</v>
      </c>
    </row>
    <row r="20" spans="1:33" x14ac:dyDescent="0.35">
      <c r="A20" s="1">
        <v>19</v>
      </c>
      <c r="B20" t="s">
        <v>37</v>
      </c>
      <c r="C20">
        <v>43.3</v>
      </c>
      <c r="D20">
        <v>86</v>
      </c>
      <c r="E20" t="s">
        <v>37</v>
      </c>
      <c r="F20">
        <v>42.5</v>
      </c>
      <c r="G20">
        <v>72</v>
      </c>
      <c r="H20" t="s">
        <v>37</v>
      </c>
      <c r="I20">
        <v>39.299999999999997</v>
      </c>
      <c r="J20">
        <v>94</v>
      </c>
      <c r="K20" t="s">
        <v>37</v>
      </c>
      <c r="L20">
        <v>47.22</v>
      </c>
      <c r="M20">
        <v>122</v>
      </c>
      <c r="N20" t="s">
        <v>37</v>
      </c>
      <c r="O20">
        <v>64.989999999999995</v>
      </c>
      <c r="P20">
        <v>107</v>
      </c>
      <c r="Q20" t="s">
        <v>37</v>
      </c>
      <c r="R20">
        <v>46.86</v>
      </c>
      <c r="S20">
        <v>101</v>
      </c>
      <c r="U20">
        <f t="shared" si="0"/>
        <v>39.299999999999997</v>
      </c>
      <c r="V20">
        <f t="shared" si="1"/>
        <v>64.989999999999995</v>
      </c>
      <c r="W20">
        <f t="shared" si="2"/>
        <v>47.361666666666672</v>
      </c>
      <c r="X20">
        <f t="shared" si="3"/>
        <v>52.144999999999996</v>
      </c>
      <c r="Y20">
        <f t="shared" si="4"/>
        <v>4.7833333333333243</v>
      </c>
      <c r="AA20">
        <f t="shared" si="5"/>
        <v>9.5666666666666487</v>
      </c>
      <c r="AB20">
        <f t="shared" si="6"/>
        <v>25.689999999999998</v>
      </c>
      <c r="AE20">
        <f t="shared" si="7"/>
        <v>0.37238873751135265</v>
      </c>
      <c r="AG20">
        <f t="shared" si="8"/>
        <v>0.37238873751135265</v>
      </c>
    </row>
    <row r="21" spans="1:33" x14ac:dyDescent="0.35">
      <c r="A21" s="1">
        <v>20</v>
      </c>
      <c r="B21" t="s">
        <v>38</v>
      </c>
      <c r="C21">
        <v>45.3</v>
      </c>
      <c r="D21">
        <v>75</v>
      </c>
      <c r="E21" t="s">
        <v>38</v>
      </c>
      <c r="F21">
        <v>40.1</v>
      </c>
      <c r="G21">
        <v>83</v>
      </c>
      <c r="H21" t="s">
        <v>38</v>
      </c>
      <c r="I21">
        <v>44.3</v>
      </c>
      <c r="J21">
        <v>80</v>
      </c>
      <c r="K21" t="s">
        <v>38</v>
      </c>
      <c r="L21">
        <v>55.98</v>
      </c>
      <c r="M21">
        <v>88</v>
      </c>
      <c r="N21" t="s">
        <v>38</v>
      </c>
      <c r="O21">
        <v>71.09</v>
      </c>
      <c r="P21">
        <v>76</v>
      </c>
      <c r="Q21" t="s">
        <v>38</v>
      </c>
      <c r="R21">
        <v>50.48</v>
      </c>
      <c r="S21">
        <v>85</v>
      </c>
      <c r="U21">
        <f t="shared" si="0"/>
        <v>40.1</v>
      </c>
      <c r="V21">
        <f t="shared" si="1"/>
        <v>71.09</v>
      </c>
      <c r="W21">
        <f t="shared" si="2"/>
        <v>51.208333333333336</v>
      </c>
      <c r="X21">
        <f t="shared" si="3"/>
        <v>55.594999999999999</v>
      </c>
      <c r="Y21">
        <f t="shared" si="4"/>
        <v>4.3866666666666632</v>
      </c>
      <c r="AA21">
        <f t="shared" si="5"/>
        <v>8.7733333333333263</v>
      </c>
      <c r="AB21">
        <f t="shared" si="6"/>
        <v>30.990000000000002</v>
      </c>
      <c r="AE21">
        <f t="shared" si="7"/>
        <v>0.28310207593847453</v>
      </c>
      <c r="AG21">
        <f t="shared" si="8"/>
        <v>0.28310207593847453</v>
      </c>
    </row>
    <row r="22" spans="1:33" x14ac:dyDescent="0.35">
      <c r="A22" s="1">
        <v>21</v>
      </c>
      <c r="B22" t="s">
        <v>39</v>
      </c>
      <c r="C22">
        <v>46</v>
      </c>
      <c r="D22">
        <v>72</v>
      </c>
      <c r="E22" t="s">
        <v>39</v>
      </c>
      <c r="F22">
        <v>39.4</v>
      </c>
      <c r="G22">
        <v>85</v>
      </c>
      <c r="H22" t="s">
        <v>39</v>
      </c>
      <c r="I22">
        <v>45.4</v>
      </c>
      <c r="J22">
        <v>73</v>
      </c>
      <c r="K22" t="s">
        <v>39</v>
      </c>
      <c r="L22">
        <v>41.84</v>
      </c>
      <c r="M22">
        <v>149</v>
      </c>
      <c r="N22" t="s">
        <v>39</v>
      </c>
      <c r="O22">
        <v>63.28</v>
      </c>
      <c r="P22">
        <v>116</v>
      </c>
      <c r="Q22" t="s">
        <v>39</v>
      </c>
      <c r="R22">
        <v>45.79</v>
      </c>
      <c r="S22">
        <v>105</v>
      </c>
      <c r="U22">
        <f t="shared" si="0"/>
        <v>39.4</v>
      </c>
      <c r="V22">
        <f t="shared" si="1"/>
        <v>63.28</v>
      </c>
      <c r="W22">
        <f t="shared" si="2"/>
        <v>46.951666666666675</v>
      </c>
      <c r="X22">
        <f t="shared" si="3"/>
        <v>51.34</v>
      </c>
      <c r="Y22">
        <f t="shared" si="4"/>
        <v>4.3883333333333283</v>
      </c>
      <c r="AA22">
        <f t="shared" si="5"/>
        <v>8.7766666666666566</v>
      </c>
      <c r="AB22">
        <f t="shared" si="6"/>
        <v>23.880000000000003</v>
      </c>
      <c r="AE22">
        <f t="shared" si="7"/>
        <v>0.36753210496929045</v>
      </c>
      <c r="AG22">
        <f t="shared" si="8"/>
        <v>0.36753210496929045</v>
      </c>
    </row>
    <row r="23" spans="1:33" x14ac:dyDescent="0.35">
      <c r="A23" s="1">
        <v>22</v>
      </c>
      <c r="B23" t="s">
        <v>40</v>
      </c>
      <c r="C23">
        <v>49.2</v>
      </c>
      <c r="D23">
        <v>57</v>
      </c>
      <c r="E23" t="s">
        <v>40</v>
      </c>
      <c r="F23">
        <v>54</v>
      </c>
      <c r="G23">
        <v>34</v>
      </c>
      <c r="H23" t="s">
        <v>40</v>
      </c>
      <c r="I23">
        <v>40.4</v>
      </c>
      <c r="J23">
        <v>90</v>
      </c>
      <c r="K23" t="s">
        <v>40</v>
      </c>
      <c r="L23">
        <v>51.7</v>
      </c>
      <c r="M23">
        <v>106</v>
      </c>
      <c r="N23" t="s">
        <v>40</v>
      </c>
      <c r="O23">
        <v>70.72</v>
      </c>
      <c r="P23">
        <v>79</v>
      </c>
      <c r="Q23" t="s">
        <v>40</v>
      </c>
      <c r="R23">
        <v>47.6</v>
      </c>
      <c r="S23">
        <v>98</v>
      </c>
      <c r="U23">
        <f t="shared" si="0"/>
        <v>40.4</v>
      </c>
      <c r="V23">
        <f t="shared" si="1"/>
        <v>70.72</v>
      </c>
      <c r="W23">
        <f t="shared" si="2"/>
        <v>52.27</v>
      </c>
      <c r="X23">
        <f t="shared" si="3"/>
        <v>55.56</v>
      </c>
      <c r="Y23">
        <f t="shared" si="4"/>
        <v>3.2899999999999991</v>
      </c>
      <c r="AA23">
        <f t="shared" si="5"/>
        <v>6.5799999999999983</v>
      </c>
      <c r="AB23">
        <f t="shared" si="6"/>
        <v>30.32</v>
      </c>
      <c r="AE23">
        <f t="shared" si="7"/>
        <v>0.21701846965699204</v>
      </c>
      <c r="AG23">
        <f t="shared" si="8"/>
        <v>0.21701846965699204</v>
      </c>
    </row>
    <row r="24" spans="1:33" x14ac:dyDescent="0.35">
      <c r="A24" s="1">
        <v>23</v>
      </c>
      <c r="B24" t="s">
        <v>41</v>
      </c>
      <c r="C24">
        <v>53</v>
      </c>
      <c r="D24">
        <v>43</v>
      </c>
      <c r="E24" t="s">
        <v>41</v>
      </c>
      <c r="F24">
        <v>43.6</v>
      </c>
      <c r="G24">
        <v>70</v>
      </c>
      <c r="H24" t="s">
        <v>41</v>
      </c>
      <c r="I24">
        <v>51.2</v>
      </c>
      <c r="J24">
        <v>53</v>
      </c>
      <c r="K24" t="s">
        <v>41</v>
      </c>
      <c r="L24">
        <v>60.7</v>
      </c>
      <c r="M24">
        <v>67</v>
      </c>
      <c r="N24" t="s">
        <v>41</v>
      </c>
      <c r="O24">
        <v>78.900000000000006</v>
      </c>
      <c r="P24">
        <v>46</v>
      </c>
      <c r="Q24" t="s">
        <v>41</v>
      </c>
      <c r="R24">
        <v>52.97</v>
      </c>
      <c r="S24">
        <v>76</v>
      </c>
      <c r="U24">
        <f t="shared" si="0"/>
        <v>43.6</v>
      </c>
      <c r="V24">
        <f t="shared" si="1"/>
        <v>78.900000000000006</v>
      </c>
      <c r="W24">
        <f t="shared" si="2"/>
        <v>56.728333333333332</v>
      </c>
      <c r="X24">
        <f t="shared" si="3"/>
        <v>61.25</v>
      </c>
      <c r="Y24">
        <f t="shared" si="4"/>
        <v>4.5216666666666683</v>
      </c>
      <c r="AA24">
        <f t="shared" si="5"/>
        <v>9.0433333333333366</v>
      </c>
      <c r="AB24">
        <f t="shared" si="6"/>
        <v>35.300000000000004</v>
      </c>
      <c r="AE24">
        <f t="shared" si="7"/>
        <v>0.25618508026440046</v>
      </c>
      <c r="AG24">
        <f t="shared" si="8"/>
        <v>0.25618508026440046</v>
      </c>
    </row>
    <row r="25" spans="1:33" x14ac:dyDescent="0.35">
      <c r="A25" s="1">
        <v>24</v>
      </c>
      <c r="B25" t="s">
        <v>42</v>
      </c>
      <c r="C25">
        <v>48.3</v>
      </c>
      <c r="D25">
        <v>60</v>
      </c>
      <c r="E25" t="s">
        <v>42</v>
      </c>
      <c r="F25">
        <v>45.7</v>
      </c>
      <c r="G25">
        <v>62</v>
      </c>
      <c r="H25" t="s">
        <v>42</v>
      </c>
      <c r="I25">
        <v>54.8</v>
      </c>
      <c r="J25">
        <v>44</v>
      </c>
      <c r="K25" t="s">
        <v>42</v>
      </c>
      <c r="L25">
        <v>63.57</v>
      </c>
      <c r="M25">
        <v>51</v>
      </c>
      <c r="N25" t="s">
        <v>42</v>
      </c>
      <c r="O25">
        <v>67.86</v>
      </c>
      <c r="P25">
        <v>96</v>
      </c>
      <c r="Q25" t="s">
        <v>42</v>
      </c>
      <c r="R25">
        <v>66.489999999999995</v>
      </c>
      <c r="S25">
        <v>37</v>
      </c>
      <c r="U25">
        <f t="shared" si="0"/>
        <v>45.7</v>
      </c>
      <c r="V25">
        <f t="shared" si="1"/>
        <v>67.86</v>
      </c>
      <c r="W25">
        <f t="shared" si="2"/>
        <v>57.786666666666669</v>
      </c>
      <c r="X25">
        <f t="shared" si="3"/>
        <v>56.78</v>
      </c>
      <c r="Y25">
        <f t="shared" si="4"/>
        <v>-1.0066666666666677</v>
      </c>
      <c r="AA25">
        <f t="shared" si="5"/>
        <v>-2.0133333333333354</v>
      </c>
      <c r="AB25">
        <f t="shared" si="6"/>
        <v>22.159999999999997</v>
      </c>
      <c r="AE25">
        <f t="shared" si="7"/>
        <v>-9.0854392298435727E-2</v>
      </c>
      <c r="AG25">
        <f t="shared" si="8"/>
        <v>9.0854392298435727E-2</v>
      </c>
    </row>
    <row r="26" spans="1:33" x14ac:dyDescent="0.35">
      <c r="A26" s="1">
        <v>25</v>
      </c>
      <c r="B26" t="s">
        <v>43</v>
      </c>
      <c r="C26">
        <v>56.2</v>
      </c>
      <c r="D26">
        <v>35</v>
      </c>
      <c r="E26" t="s">
        <v>43</v>
      </c>
      <c r="F26">
        <v>51.9</v>
      </c>
      <c r="G26">
        <v>37</v>
      </c>
      <c r="H26" t="s">
        <v>43</v>
      </c>
      <c r="I26">
        <v>57</v>
      </c>
      <c r="J26">
        <v>39</v>
      </c>
      <c r="K26" t="s">
        <v>43</v>
      </c>
      <c r="L26">
        <v>67.849999999999994</v>
      </c>
      <c r="M26">
        <v>30</v>
      </c>
      <c r="N26" t="s">
        <v>43</v>
      </c>
      <c r="O26">
        <v>83.4</v>
      </c>
      <c r="P26">
        <v>33</v>
      </c>
      <c r="Q26" t="s">
        <v>43</v>
      </c>
      <c r="R26">
        <v>64.010000000000005</v>
      </c>
      <c r="S26">
        <v>41</v>
      </c>
      <c r="U26">
        <f t="shared" si="0"/>
        <v>51.9</v>
      </c>
      <c r="V26">
        <f t="shared" si="1"/>
        <v>83.4</v>
      </c>
      <c r="W26">
        <f t="shared" si="2"/>
        <v>63.393333333333338</v>
      </c>
      <c r="X26">
        <f t="shared" si="3"/>
        <v>67.650000000000006</v>
      </c>
      <c r="Y26">
        <f t="shared" si="4"/>
        <v>4.2566666666666677</v>
      </c>
      <c r="AA26">
        <f t="shared" si="5"/>
        <v>8.5133333333333354</v>
      </c>
      <c r="AB26">
        <f t="shared" si="6"/>
        <v>31.500000000000007</v>
      </c>
      <c r="AE26">
        <f t="shared" si="7"/>
        <v>0.27026455026455026</v>
      </c>
      <c r="AG26">
        <f t="shared" si="8"/>
        <v>0.27026455026455026</v>
      </c>
    </row>
    <row r="27" spans="1:33" x14ac:dyDescent="0.35">
      <c r="A27" s="1">
        <v>26</v>
      </c>
      <c r="B27" t="s">
        <v>44</v>
      </c>
      <c r="C27">
        <v>42.2</v>
      </c>
      <c r="D27">
        <v>92</v>
      </c>
      <c r="E27" t="s">
        <v>44</v>
      </c>
      <c r="F27">
        <v>35.5</v>
      </c>
      <c r="G27">
        <v>104</v>
      </c>
      <c r="H27" t="s">
        <v>44</v>
      </c>
      <c r="I27">
        <v>38.299999999999997</v>
      </c>
      <c r="J27">
        <v>99</v>
      </c>
      <c r="K27" t="s">
        <v>44</v>
      </c>
      <c r="L27">
        <v>42.83</v>
      </c>
      <c r="M27">
        <v>145</v>
      </c>
      <c r="N27" t="s">
        <v>44</v>
      </c>
      <c r="O27">
        <v>43.71</v>
      </c>
      <c r="P27">
        <v>157</v>
      </c>
      <c r="Q27" t="s">
        <v>44</v>
      </c>
      <c r="R27">
        <v>40.520000000000003</v>
      </c>
      <c r="S27">
        <v>123</v>
      </c>
      <c r="U27">
        <f t="shared" si="0"/>
        <v>35.5</v>
      </c>
      <c r="V27">
        <f t="shared" si="1"/>
        <v>43.71</v>
      </c>
      <c r="W27">
        <f t="shared" si="2"/>
        <v>40.51</v>
      </c>
      <c r="X27">
        <f t="shared" si="3"/>
        <v>39.605000000000004</v>
      </c>
      <c r="Y27">
        <f t="shared" si="4"/>
        <v>-0.90499999999999403</v>
      </c>
      <c r="AA27">
        <f t="shared" si="5"/>
        <v>-1.8099999999999881</v>
      </c>
      <c r="AB27">
        <f t="shared" si="6"/>
        <v>8.2100000000000009</v>
      </c>
      <c r="AE27">
        <f t="shared" si="7"/>
        <v>-0.22046285018270254</v>
      </c>
      <c r="AG27">
        <f t="shared" si="8"/>
        <v>0.22046285018270254</v>
      </c>
    </row>
    <row r="28" spans="1:33" x14ac:dyDescent="0.35">
      <c r="A28" s="1">
        <v>27</v>
      </c>
      <c r="B28" t="s">
        <v>45</v>
      </c>
      <c r="C28">
        <v>33.5</v>
      </c>
      <c r="D28">
        <v>132</v>
      </c>
      <c r="E28" t="s">
        <v>45</v>
      </c>
      <c r="F28">
        <v>30.5</v>
      </c>
      <c r="G28">
        <v>123</v>
      </c>
      <c r="H28" t="s">
        <v>45</v>
      </c>
      <c r="I28">
        <v>27</v>
      </c>
      <c r="J28">
        <v>143</v>
      </c>
      <c r="K28" t="s">
        <v>45</v>
      </c>
      <c r="L28">
        <v>27.43</v>
      </c>
      <c r="M28">
        <v>171</v>
      </c>
      <c r="N28" t="s">
        <v>45</v>
      </c>
      <c r="O28">
        <v>43.37</v>
      </c>
      <c r="P28">
        <v>160</v>
      </c>
      <c r="Q28" t="s">
        <v>45</v>
      </c>
      <c r="R28">
        <v>25.78</v>
      </c>
      <c r="S28">
        <v>163</v>
      </c>
      <c r="U28">
        <f t="shared" si="0"/>
        <v>25.78</v>
      </c>
      <c r="V28">
        <f t="shared" si="1"/>
        <v>43.37</v>
      </c>
      <c r="W28">
        <f t="shared" si="2"/>
        <v>31.263333333333335</v>
      </c>
      <c r="X28">
        <f t="shared" si="3"/>
        <v>34.575000000000003</v>
      </c>
      <c r="Y28">
        <f t="shared" si="4"/>
        <v>3.3116666666666674</v>
      </c>
      <c r="AA28">
        <f t="shared" si="5"/>
        <v>6.6233333333333348</v>
      </c>
      <c r="AB28">
        <f t="shared" si="6"/>
        <v>17.589999999999996</v>
      </c>
      <c r="AE28">
        <f t="shared" si="7"/>
        <v>0.37653970058745517</v>
      </c>
      <c r="AG28">
        <f t="shared" si="8"/>
        <v>0.37653970058745517</v>
      </c>
    </row>
    <row r="29" spans="1:33" x14ac:dyDescent="0.35">
      <c r="A29" s="1">
        <v>28</v>
      </c>
      <c r="B29" t="s">
        <v>46</v>
      </c>
      <c r="C29">
        <v>38</v>
      </c>
      <c r="D29">
        <v>112</v>
      </c>
      <c r="E29" t="s">
        <v>46</v>
      </c>
      <c r="F29">
        <v>41.9</v>
      </c>
      <c r="G29">
        <v>76</v>
      </c>
      <c r="H29" t="s">
        <v>46</v>
      </c>
      <c r="I29">
        <v>32.799999999999997</v>
      </c>
      <c r="J29">
        <v>120</v>
      </c>
      <c r="K29" t="s">
        <v>46</v>
      </c>
      <c r="L29">
        <v>56.94</v>
      </c>
      <c r="M29">
        <v>86</v>
      </c>
      <c r="N29" t="s">
        <v>46</v>
      </c>
      <c r="O29">
        <v>51.98</v>
      </c>
      <c r="P29">
        <v>137</v>
      </c>
      <c r="Q29" t="s">
        <v>46</v>
      </c>
      <c r="R29">
        <v>44.07</v>
      </c>
      <c r="S29">
        <v>111</v>
      </c>
      <c r="U29">
        <f t="shared" si="0"/>
        <v>32.799999999999997</v>
      </c>
      <c r="V29">
        <f t="shared" si="1"/>
        <v>56.94</v>
      </c>
      <c r="W29">
        <f t="shared" si="2"/>
        <v>44.281666666666666</v>
      </c>
      <c r="X29">
        <f t="shared" si="3"/>
        <v>44.87</v>
      </c>
      <c r="Y29">
        <f t="shared" si="4"/>
        <v>0.58833333333333115</v>
      </c>
      <c r="AA29">
        <f t="shared" si="5"/>
        <v>1.1766666666666623</v>
      </c>
      <c r="AB29">
        <f t="shared" si="6"/>
        <v>24.14</v>
      </c>
      <c r="AE29">
        <f t="shared" si="7"/>
        <v>4.8743441038387007E-2</v>
      </c>
      <c r="AG29">
        <f t="shared" si="8"/>
        <v>4.8743441038387007E-2</v>
      </c>
    </row>
    <row r="30" spans="1:33" x14ac:dyDescent="0.35">
      <c r="A30" s="1">
        <v>29</v>
      </c>
      <c r="B30" t="s">
        <v>47</v>
      </c>
      <c r="C30">
        <v>31.2</v>
      </c>
      <c r="D30">
        <v>137</v>
      </c>
      <c r="E30" t="s">
        <v>47</v>
      </c>
      <c r="F30">
        <v>30.1</v>
      </c>
      <c r="G30">
        <v>125</v>
      </c>
      <c r="H30" t="s">
        <v>47</v>
      </c>
      <c r="I30">
        <v>33.6</v>
      </c>
      <c r="J30">
        <v>117</v>
      </c>
      <c r="K30" t="s">
        <v>47</v>
      </c>
      <c r="L30">
        <v>43.23</v>
      </c>
      <c r="M30">
        <v>141</v>
      </c>
      <c r="N30" t="s">
        <v>47</v>
      </c>
      <c r="O30">
        <v>51.24</v>
      </c>
      <c r="P30">
        <v>140</v>
      </c>
      <c r="Q30" t="s">
        <v>47</v>
      </c>
      <c r="R30">
        <v>35.44</v>
      </c>
      <c r="S30">
        <v>142</v>
      </c>
      <c r="U30">
        <f t="shared" si="0"/>
        <v>30.1</v>
      </c>
      <c r="V30">
        <f t="shared" si="1"/>
        <v>51.24</v>
      </c>
      <c r="W30">
        <f t="shared" si="2"/>
        <v>37.468333333333334</v>
      </c>
      <c r="X30">
        <f t="shared" si="3"/>
        <v>40.67</v>
      </c>
      <c r="Y30">
        <f t="shared" si="4"/>
        <v>3.201666666666668</v>
      </c>
      <c r="AA30">
        <f t="shared" si="5"/>
        <v>6.403333333333336</v>
      </c>
      <c r="AB30">
        <f t="shared" si="6"/>
        <v>21.14</v>
      </c>
      <c r="AE30">
        <f t="shared" si="7"/>
        <v>0.30290129296751828</v>
      </c>
      <c r="AG30">
        <f t="shared" si="8"/>
        <v>0.30290129296751828</v>
      </c>
    </row>
    <row r="31" spans="1:33" x14ac:dyDescent="0.35">
      <c r="A31" s="1">
        <v>30</v>
      </c>
      <c r="B31" t="s">
        <v>48</v>
      </c>
      <c r="C31">
        <v>38.6</v>
      </c>
      <c r="D31">
        <v>110</v>
      </c>
      <c r="E31" t="s">
        <v>48</v>
      </c>
      <c r="F31">
        <v>30.2</v>
      </c>
      <c r="G31">
        <v>124</v>
      </c>
      <c r="H31" t="s">
        <v>48</v>
      </c>
      <c r="I31">
        <v>33.6</v>
      </c>
      <c r="J31">
        <v>117</v>
      </c>
      <c r="K31" t="s">
        <v>48</v>
      </c>
      <c r="L31">
        <v>40.81</v>
      </c>
      <c r="M31">
        <v>152</v>
      </c>
      <c r="N31" t="s">
        <v>48</v>
      </c>
      <c r="O31">
        <v>57.13</v>
      </c>
      <c r="P31">
        <v>131</v>
      </c>
      <c r="Q31" t="s">
        <v>48</v>
      </c>
      <c r="R31">
        <v>36.68</v>
      </c>
      <c r="S31">
        <v>138</v>
      </c>
      <c r="U31">
        <f t="shared" si="0"/>
        <v>30.2</v>
      </c>
      <c r="V31">
        <f t="shared" si="1"/>
        <v>57.13</v>
      </c>
      <c r="W31">
        <f t="shared" si="2"/>
        <v>39.503333333333337</v>
      </c>
      <c r="X31">
        <f t="shared" si="3"/>
        <v>43.664999999999999</v>
      </c>
      <c r="Y31">
        <f t="shared" si="4"/>
        <v>4.1616666666666617</v>
      </c>
      <c r="AA31">
        <f t="shared" si="5"/>
        <v>8.3233333333333235</v>
      </c>
      <c r="AB31">
        <f t="shared" si="6"/>
        <v>26.930000000000003</v>
      </c>
      <c r="AE31">
        <f t="shared" si="7"/>
        <v>0.30907290506250734</v>
      </c>
      <c r="AG31">
        <f t="shared" si="8"/>
        <v>0.30907290506250734</v>
      </c>
    </row>
    <row r="32" spans="1:33" x14ac:dyDescent="0.35">
      <c r="A32" s="1">
        <v>31</v>
      </c>
      <c r="B32" t="s">
        <v>49</v>
      </c>
      <c r="C32">
        <v>61.1</v>
      </c>
      <c r="D32">
        <v>27</v>
      </c>
      <c r="E32" t="s">
        <v>49</v>
      </c>
      <c r="F32">
        <v>50</v>
      </c>
      <c r="G32">
        <v>44</v>
      </c>
      <c r="H32" t="s">
        <v>49</v>
      </c>
      <c r="I32">
        <v>71</v>
      </c>
      <c r="J32">
        <v>20</v>
      </c>
      <c r="K32" t="s">
        <v>49</v>
      </c>
      <c r="L32">
        <v>72.180000000000007</v>
      </c>
      <c r="M32">
        <v>25</v>
      </c>
      <c r="N32" t="s">
        <v>49</v>
      </c>
      <c r="O32">
        <v>85.06</v>
      </c>
      <c r="P32">
        <v>25</v>
      </c>
      <c r="Q32" t="s">
        <v>49</v>
      </c>
      <c r="R32">
        <v>73.14</v>
      </c>
      <c r="S32">
        <v>24</v>
      </c>
      <c r="U32">
        <f t="shared" si="0"/>
        <v>50</v>
      </c>
      <c r="V32">
        <f t="shared" si="1"/>
        <v>85.06</v>
      </c>
      <c r="W32">
        <f t="shared" si="2"/>
        <v>68.74666666666667</v>
      </c>
      <c r="X32">
        <f t="shared" si="3"/>
        <v>67.53</v>
      </c>
      <c r="Y32">
        <f t="shared" si="4"/>
        <v>-1.2166666666666686</v>
      </c>
      <c r="AA32">
        <f t="shared" si="5"/>
        <v>-2.4333333333333371</v>
      </c>
      <c r="AB32">
        <f t="shared" si="6"/>
        <v>35.06</v>
      </c>
      <c r="AE32">
        <f t="shared" si="7"/>
        <v>-6.9404829815554389E-2</v>
      </c>
      <c r="AG32">
        <f t="shared" si="8"/>
        <v>6.9404829815554389E-2</v>
      </c>
    </row>
    <row r="33" spans="1:33" x14ac:dyDescent="0.35">
      <c r="A33" s="1">
        <v>32</v>
      </c>
      <c r="B33" t="s">
        <v>50</v>
      </c>
      <c r="C33">
        <v>39</v>
      </c>
      <c r="D33">
        <v>107</v>
      </c>
      <c r="E33" t="s">
        <v>50</v>
      </c>
      <c r="F33">
        <v>44.9</v>
      </c>
      <c r="G33">
        <v>66</v>
      </c>
      <c r="H33" t="s">
        <v>50</v>
      </c>
      <c r="I33">
        <v>36.9</v>
      </c>
      <c r="J33">
        <v>107</v>
      </c>
      <c r="K33" t="s">
        <v>50</v>
      </c>
      <c r="L33">
        <v>36.42</v>
      </c>
      <c r="M33">
        <v>162</v>
      </c>
      <c r="N33" t="s">
        <v>50</v>
      </c>
      <c r="O33">
        <v>46.46</v>
      </c>
      <c r="P33">
        <v>151</v>
      </c>
      <c r="Q33" t="s">
        <v>50</v>
      </c>
      <c r="R33">
        <v>42.94</v>
      </c>
      <c r="S33">
        <v>117</v>
      </c>
      <c r="U33">
        <f t="shared" si="0"/>
        <v>36.42</v>
      </c>
      <c r="V33">
        <f t="shared" si="1"/>
        <v>46.46</v>
      </c>
      <c r="W33">
        <f t="shared" si="2"/>
        <v>41.103333333333339</v>
      </c>
      <c r="X33">
        <f t="shared" si="3"/>
        <v>41.44</v>
      </c>
      <c r="Y33">
        <f t="shared" si="4"/>
        <v>0.3366666666666589</v>
      </c>
      <c r="AA33">
        <f t="shared" si="5"/>
        <v>0.6733333333333178</v>
      </c>
      <c r="AB33">
        <f t="shared" si="6"/>
        <v>10.039999999999999</v>
      </c>
      <c r="AE33">
        <f t="shared" si="7"/>
        <v>6.7065073041167114E-2</v>
      </c>
      <c r="AG33">
        <f t="shared" si="8"/>
        <v>6.7065073041167114E-2</v>
      </c>
    </row>
    <row r="34" spans="1:33" x14ac:dyDescent="0.35">
      <c r="A34" s="1">
        <v>33</v>
      </c>
      <c r="B34" t="s">
        <v>51</v>
      </c>
      <c r="C34">
        <v>35.9</v>
      </c>
      <c r="D34">
        <v>121</v>
      </c>
      <c r="E34" t="s">
        <v>51</v>
      </c>
      <c r="F34">
        <v>28.1</v>
      </c>
      <c r="G34">
        <v>132</v>
      </c>
      <c r="H34" t="s">
        <v>51</v>
      </c>
      <c r="I34">
        <v>26.7</v>
      </c>
      <c r="J34">
        <v>144</v>
      </c>
      <c r="K34" t="s">
        <v>51</v>
      </c>
      <c r="L34">
        <v>45.34</v>
      </c>
      <c r="M34">
        <v>128</v>
      </c>
      <c r="N34" t="s">
        <v>51</v>
      </c>
      <c r="O34">
        <v>37.83</v>
      </c>
      <c r="P34">
        <v>167</v>
      </c>
      <c r="Q34" t="s">
        <v>51</v>
      </c>
      <c r="R34">
        <v>31.02</v>
      </c>
      <c r="S34">
        <v>153</v>
      </c>
      <c r="U34">
        <f t="shared" si="0"/>
        <v>26.7</v>
      </c>
      <c r="V34">
        <f t="shared" si="1"/>
        <v>45.34</v>
      </c>
      <c r="W34">
        <f t="shared" si="2"/>
        <v>34.148333333333333</v>
      </c>
      <c r="X34">
        <f t="shared" si="3"/>
        <v>36.020000000000003</v>
      </c>
      <c r="Y34">
        <f t="shared" si="4"/>
        <v>1.8716666666666697</v>
      </c>
      <c r="AA34">
        <f t="shared" si="5"/>
        <v>3.7433333333333394</v>
      </c>
      <c r="AB34">
        <f t="shared" si="6"/>
        <v>18.640000000000004</v>
      </c>
      <c r="AE34">
        <f t="shared" si="7"/>
        <v>0.2008226037195997</v>
      </c>
      <c r="AG34">
        <f t="shared" si="8"/>
        <v>0.2008226037195997</v>
      </c>
    </row>
    <row r="35" spans="1:33" x14ac:dyDescent="0.35">
      <c r="A35" s="1">
        <v>34</v>
      </c>
      <c r="B35" t="s">
        <v>52</v>
      </c>
      <c r="C35">
        <v>49.6</v>
      </c>
      <c r="D35">
        <v>55</v>
      </c>
      <c r="E35" t="s">
        <v>52</v>
      </c>
      <c r="F35">
        <v>46.7</v>
      </c>
      <c r="G35">
        <v>56</v>
      </c>
      <c r="H35" t="s">
        <v>52</v>
      </c>
      <c r="I35">
        <v>55.3</v>
      </c>
      <c r="J35">
        <v>42</v>
      </c>
      <c r="K35" t="s">
        <v>52</v>
      </c>
      <c r="L35">
        <v>57.49</v>
      </c>
      <c r="M35">
        <v>82</v>
      </c>
      <c r="N35" t="s">
        <v>52</v>
      </c>
      <c r="O35">
        <v>77.67</v>
      </c>
      <c r="P35">
        <v>52</v>
      </c>
      <c r="Q35" t="s">
        <v>52</v>
      </c>
      <c r="R35">
        <v>69.930000000000007</v>
      </c>
      <c r="S35">
        <v>29</v>
      </c>
      <c r="U35">
        <f t="shared" si="0"/>
        <v>46.7</v>
      </c>
      <c r="V35">
        <f t="shared" si="1"/>
        <v>77.67</v>
      </c>
      <c r="W35">
        <f t="shared" si="2"/>
        <v>59.448333333333345</v>
      </c>
      <c r="X35">
        <f t="shared" si="3"/>
        <v>62.185000000000002</v>
      </c>
      <c r="Y35">
        <f t="shared" si="4"/>
        <v>2.7366666666666575</v>
      </c>
      <c r="AA35">
        <f t="shared" si="5"/>
        <v>5.473333333333315</v>
      </c>
      <c r="AB35">
        <f t="shared" si="6"/>
        <v>30.97</v>
      </c>
      <c r="AE35">
        <f t="shared" si="7"/>
        <v>0.17673016898073346</v>
      </c>
      <c r="AG35">
        <f t="shared" si="8"/>
        <v>0.17673016898073346</v>
      </c>
    </row>
    <row r="36" spans="1:33" x14ac:dyDescent="0.35">
      <c r="A36" s="1">
        <v>35</v>
      </c>
      <c r="B36" t="s">
        <v>53</v>
      </c>
      <c r="C36">
        <v>35.4</v>
      </c>
      <c r="D36">
        <v>124</v>
      </c>
      <c r="E36" t="s">
        <v>53</v>
      </c>
      <c r="F36">
        <v>28.4</v>
      </c>
      <c r="G36">
        <v>129</v>
      </c>
      <c r="H36" t="s">
        <v>53</v>
      </c>
      <c r="I36">
        <v>37.299999999999997</v>
      </c>
      <c r="J36">
        <v>104</v>
      </c>
      <c r="K36" t="s">
        <v>53</v>
      </c>
      <c r="L36">
        <v>50.74</v>
      </c>
      <c r="M36">
        <v>113</v>
      </c>
      <c r="N36" t="s">
        <v>53</v>
      </c>
      <c r="O36">
        <v>65.099999999999994</v>
      </c>
      <c r="P36">
        <v>106</v>
      </c>
      <c r="Q36" t="s">
        <v>53</v>
      </c>
      <c r="R36">
        <v>43</v>
      </c>
      <c r="S36">
        <v>116</v>
      </c>
      <c r="U36">
        <f t="shared" si="0"/>
        <v>28.4</v>
      </c>
      <c r="V36">
        <f t="shared" si="1"/>
        <v>65.099999999999994</v>
      </c>
      <c r="W36">
        <f t="shared" si="2"/>
        <v>43.323333333333331</v>
      </c>
      <c r="X36">
        <f t="shared" si="3"/>
        <v>46.75</v>
      </c>
      <c r="Y36">
        <f t="shared" si="4"/>
        <v>3.4266666666666694</v>
      </c>
      <c r="AA36">
        <f t="shared" si="5"/>
        <v>6.8533333333333388</v>
      </c>
      <c r="AB36">
        <f t="shared" si="6"/>
        <v>36.699999999999996</v>
      </c>
      <c r="AE36">
        <f t="shared" si="7"/>
        <v>0.18673932788374223</v>
      </c>
      <c r="AG36">
        <f t="shared" si="8"/>
        <v>0.18673932788374223</v>
      </c>
    </row>
    <row r="37" spans="1:33" x14ac:dyDescent="0.35">
      <c r="A37" s="1">
        <v>36</v>
      </c>
      <c r="B37" t="s">
        <v>54</v>
      </c>
      <c r="C37">
        <v>49.7</v>
      </c>
      <c r="D37">
        <v>54</v>
      </c>
      <c r="E37" t="s">
        <v>54</v>
      </c>
      <c r="F37">
        <v>42.4</v>
      </c>
      <c r="G37">
        <v>73</v>
      </c>
      <c r="H37" t="s">
        <v>54</v>
      </c>
      <c r="I37">
        <v>52.9</v>
      </c>
      <c r="J37">
        <v>48</v>
      </c>
      <c r="K37" t="s">
        <v>54</v>
      </c>
      <c r="L37">
        <v>65.22</v>
      </c>
      <c r="M37">
        <v>40</v>
      </c>
      <c r="N37" t="s">
        <v>54</v>
      </c>
      <c r="O37">
        <v>75.930000000000007</v>
      </c>
      <c r="P37">
        <v>57</v>
      </c>
      <c r="Q37" t="s">
        <v>54</v>
      </c>
      <c r="R37">
        <v>50.77</v>
      </c>
      <c r="S37">
        <v>83</v>
      </c>
      <c r="U37">
        <f t="shared" si="0"/>
        <v>42.4</v>
      </c>
      <c r="V37">
        <f t="shared" si="1"/>
        <v>75.930000000000007</v>
      </c>
      <c r="W37">
        <f t="shared" si="2"/>
        <v>56.153333333333329</v>
      </c>
      <c r="X37">
        <f t="shared" si="3"/>
        <v>59.165000000000006</v>
      </c>
      <c r="Y37">
        <f t="shared" si="4"/>
        <v>3.0116666666666774</v>
      </c>
      <c r="AA37">
        <f t="shared" si="5"/>
        <v>6.0233333333333547</v>
      </c>
      <c r="AB37">
        <f t="shared" si="6"/>
        <v>33.530000000000008</v>
      </c>
      <c r="AE37">
        <f t="shared" si="7"/>
        <v>0.17964012327269172</v>
      </c>
      <c r="AG37">
        <f t="shared" si="8"/>
        <v>0.17964012327269172</v>
      </c>
    </row>
    <row r="38" spans="1:33" x14ac:dyDescent="0.35">
      <c r="A38" s="1">
        <v>37</v>
      </c>
      <c r="B38" t="s">
        <v>55</v>
      </c>
      <c r="C38">
        <v>38.200000000000003</v>
      </c>
      <c r="D38">
        <v>111</v>
      </c>
      <c r="E38" t="s">
        <v>55</v>
      </c>
      <c r="F38">
        <v>42.5</v>
      </c>
      <c r="G38">
        <v>72</v>
      </c>
      <c r="H38" t="s">
        <v>55</v>
      </c>
      <c r="I38">
        <v>32.1</v>
      </c>
      <c r="J38">
        <v>124</v>
      </c>
      <c r="K38" t="s">
        <v>55</v>
      </c>
      <c r="L38">
        <v>44.24</v>
      </c>
      <c r="M38">
        <v>137</v>
      </c>
      <c r="N38" t="s">
        <v>55</v>
      </c>
      <c r="O38">
        <v>49.2</v>
      </c>
      <c r="P38">
        <v>145</v>
      </c>
      <c r="Q38" t="s">
        <v>55</v>
      </c>
      <c r="R38">
        <v>31.39</v>
      </c>
      <c r="S38">
        <v>150</v>
      </c>
      <c r="U38">
        <f t="shared" si="0"/>
        <v>31.39</v>
      </c>
      <c r="V38">
        <f t="shared" si="1"/>
        <v>49.2</v>
      </c>
      <c r="W38">
        <f t="shared" si="2"/>
        <v>39.604999999999997</v>
      </c>
      <c r="X38">
        <f t="shared" si="3"/>
        <v>40.295000000000002</v>
      </c>
      <c r="Y38">
        <f t="shared" si="4"/>
        <v>0.69000000000000483</v>
      </c>
      <c r="AA38">
        <f t="shared" si="5"/>
        <v>1.3800000000000097</v>
      </c>
      <c r="AB38">
        <f t="shared" si="6"/>
        <v>17.810000000000002</v>
      </c>
      <c r="AE38">
        <f t="shared" si="7"/>
        <v>7.7484559236384587E-2</v>
      </c>
      <c r="AG38">
        <f t="shared" si="8"/>
        <v>7.7484559236384587E-2</v>
      </c>
    </row>
    <row r="39" spans="1:33" x14ac:dyDescent="0.35">
      <c r="A39" s="1">
        <v>38</v>
      </c>
      <c r="B39" t="s">
        <v>56</v>
      </c>
      <c r="C39">
        <v>55.5</v>
      </c>
      <c r="D39">
        <v>38</v>
      </c>
      <c r="E39" t="s">
        <v>56</v>
      </c>
      <c r="F39">
        <v>46.3</v>
      </c>
      <c r="G39">
        <v>59</v>
      </c>
      <c r="H39" t="s">
        <v>56</v>
      </c>
      <c r="I39">
        <v>52.5</v>
      </c>
      <c r="J39">
        <v>50</v>
      </c>
      <c r="K39" t="s">
        <v>56</v>
      </c>
      <c r="L39">
        <v>67.849999999999994</v>
      </c>
      <c r="M39">
        <v>30</v>
      </c>
      <c r="N39" t="s">
        <v>56</v>
      </c>
      <c r="O39">
        <v>80.03</v>
      </c>
      <c r="P39">
        <v>42</v>
      </c>
      <c r="Q39" t="s">
        <v>56</v>
      </c>
      <c r="R39">
        <v>58.53</v>
      </c>
      <c r="S39">
        <v>54</v>
      </c>
      <c r="U39">
        <f t="shared" si="0"/>
        <v>46.3</v>
      </c>
      <c r="V39">
        <f t="shared" si="1"/>
        <v>80.03</v>
      </c>
      <c r="W39">
        <f t="shared" si="2"/>
        <v>60.118333333333339</v>
      </c>
      <c r="X39">
        <f t="shared" si="3"/>
        <v>63.164999999999999</v>
      </c>
      <c r="Y39">
        <f t="shared" si="4"/>
        <v>3.0466666666666598</v>
      </c>
      <c r="AA39">
        <f t="shared" si="5"/>
        <v>6.0933333333333195</v>
      </c>
      <c r="AB39">
        <f t="shared" si="6"/>
        <v>33.730000000000004</v>
      </c>
      <c r="AE39">
        <f t="shared" si="7"/>
        <v>0.18065026188358491</v>
      </c>
      <c r="AG39">
        <f t="shared" si="8"/>
        <v>0.18065026188358491</v>
      </c>
    </row>
    <row r="40" spans="1:33" x14ac:dyDescent="0.35">
      <c r="A40" s="1">
        <v>39</v>
      </c>
      <c r="B40" t="s">
        <v>57</v>
      </c>
      <c r="C40">
        <v>42.9</v>
      </c>
      <c r="D40">
        <v>87</v>
      </c>
      <c r="E40" t="s">
        <v>57</v>
      </c>
      <c r="F40">
        <v>32.799999999999997</v>
      </c>
      <c r="G40">
        <v>113</v>
      </c>
      <c r="H40" t="s">
        <v>57</v>
      </c>
      <c r="I40">
        <v>25.8</v>
      </c>
      <c r="J40">
        <v>147</v>
      </c>
      <c r="K40" t="s">
        <v>57</v>
      </c>
      <c r="L40">
        <v>45.25</v>
      </c>
      <c r="M40">
        <v>130</v>
      </c>
      <c r="N40" t="s">
        <v>57</v>
      </c>
      <c r="O40">
        <v>59.89</v>
      </c>
      <c r="P40">
        <v>122</v>
      </c>
      <c r="Q40" t="s">
        <v>57</v>
      </c>
      <c r="R40">
        <v>39.72</v>
      </c>
      <c r="S40">
        <v>126</v>
      </c>
      <c r="U40">
        <f t="shared" si="0"/>
        <v>25.8</v>
      </c>
      <c r="V40">
        <f t="shared" si="1"/>
        <v>59.89</v>
      </c>
      <c r="W40">
        <f t="shared" si="2"/>
        <v>41.059999999999995</v>
      </c>
      <c r="X40">
        <f t="shared" si="3"/>
        <v>42.844999999999999</v>
      </c>
      <c r="Y40">
        <f t="shared" si="4"/>
        <v>1.7850000000000037</v>
      </c>
      <c r="AA40">
        <f t="shared" si="5"/>
        <v>3.5700000000000074</v>
      </c>
      <c r="AB40">
        <f t="shared" si="6"/>
        <v>34.090000000000003</v>
      </c>
      <c r="AE40">
        <f t="shared" si="7"/>
        <v>0.10472279260780308</v>
      </c>
      <c r="AG40">
        <f t="shared" si="8"/>
        <v>0.10472279260780308</v>
      </c>
    </row>
    <row r="41" spans="1:33" x14ac:dyDescent="0.35">
      <c r="A41" s="1">
        <v>40</v>
      </c>
      <c r="B41" t="s">
        <v>58</v>
      </c>
      <c r="C41">
        <v>62.3</v>
      </c>
      <c r="D41">
        <v>24</v>
      </c>
      <c r="E41" t="s">
        <v>58</v>
      </c>
      <c r="F41">
        <v>60.2</v>
      </c>
      <c r="G41">
        <v>16</v>
      </c>
      <c r="H41" t="s">
        <v>58</v>
      </c>
      <c r="I41">
        <v>63.1</v>
      </c>
      <c r="J41">
        <v>32</v>
      </c>
      <c r="K41" t="s">
        <v>58</v>
      </c>
      <c r="L41">
        <v>65.45</v>
      </c>
      <c r="M41">
        <v>39</v>
      </c>
      <c r="N41" t="s">
        <v>58</v>
      </c>
      <c r="O41">
        <v>86.98</v>
      </c>
      <c r="P41">
        <v>15</v>
      </c>
      <c r="Q41" t="s">
        <v>58</v>
      </c>
      <c r="R41">
        <v>62.23</v>
      </c>
      <c r="S41">
        <v>45</v>
      </c>
      <c r="U41">
        <f t="shared" si="0"/>
        <v>60.2</v>
      </c>
      <c r="V41">
        <f t="shared" si="1"/>
        <v>86.98</v>
      </c>
      <c r="W41">
        <f t="shared" si="2"/>
        <v>66.710000000000008</v>
      </c>
      <c r="X41">
        <f t="shared" si="3"/>
        <v>73.59</v>
      </c>
      <c r="Y41">
        <f t="shared" si="4"/>
        <v>6.8799999999999955</v>
      </c>
      <c r="AA41">
        <f t="shared" si="5"/>
        <v>13.759999999999991</v>
      </c>
      <c r="AB41">
        <f t="shared" si="6"/>
        <v>26.78</v>
      </c>
      <c r="AE41">
        <f t="shared" si="7"/>
        <v>0.51381628080657171</v>
      </c>
      <c r="AG41">
        <f t="shared" si="8"/>
        <v>0.51381628080657171</v>
      </c>
    </row>
    <row r="42" spans="1:33" x14ac:dyDescent="0.35">
      <c r="A42" s="1">
        <v>41</v>
      </c>
      <c r="B42" t="s">
        <v>59</v>
      </c>
      <c r="C42">
        <v>52.5</v>
      </c>
      <c r="D42">
        <v>45</v>
      </c>
      <c r="E42" t="s">
        <v>59</v>
      </c>
      <c r="F42">
        <v>47.5</v>
      </c>
      <c r="G42">
        <v>53</v>
      </c>
      <c r="H42" t="s">
        <v>59</v>
      </c>
      <c r="I42">
        <v>48.4</v>
      </c>
      <c r="J42">
        <v>61</v>
      </c>
      <c r="K42" t="s">
        <v>59</v>
      </c>
      <c r="L42">
        <v>63.42</v>
      </c>
      <c r="M42">
        <v>53</v>
      </c>
      <c r="N42" t="s">
        <v>59</v>
      </c>
      <c r="O42">
        <v>79.040000000000006</v>
      </c>
      <c r="P42">
        <v>45</v>
      </c>
      <c r="Q42" t="s">
        <v>59</v>
      </c>
      <c r="R42">
        <v>55.07</v>
      </c>
      <c r="S42">
        <v>64</v>
      </c>
      <c r="U42">
        <f t="shared" si="0"/>
        <v>47.5</v>
      </c>
      <c r="V42">
        <f t="shared" si="1"/>
        <v>79.040000000000006</v>
      </c>
      <c r="W42">
        <f t="shared" si="2"/>
        <v>57.655000000000001</v>
      </c>
      <c r="X42">
        <f t="shared" si="3"/>
        <v>63.27</v>
      </c>
      <c r="Y42">
        <f t="shared" si="4"/>
        <v>5.615000000000002</v>
      </c>
      <c r="AA42">
        <f t="shared" si="5"/>
        <v>11.230000000000004</v>
      </c>
      <c r="AB42">
        <f t="shared" si="6"/>
        <v>31.540000000000006</v>
      </c>
      <c r="AE42">
        <f t="shared" si="7"/>
        <v>0.35605580215599247</v>
      </c>
      <c r="AG42">
        <f t="shared" si="8"/>
        <v>0.35605580215599247</v>
      </c>
    </row>
    <row r="43" spans="1:33" x14ac:dyDescent="0.35">
      <c r="A43" s="1">
        <v>42</v>
      </c>
      <c r="B43" t="s">
        <v>60</v>
      </c>
      <c r="C43">
        <v>53.9</v>
      </c>
      <c r="D43">
        <v>40</v>
      </c>
      <c r="E43" t="s">
        <v>60</v>
      </c>
      <c r="F43">
        <v>58</v>
      </c>
      <c r="G43">
        <v>22</v>
      </c>
      <c r="H43" t="s">
        <v>60</v>
      </c>
      <c r="I43">
        <v>64.8</v>
      </c>
      <c r="J43">
        <v>29</v>
      </c>
      <c r="K43" t="s">
        <v>60</v>
      </c>
      <c r="L43">
        <v>72.599999999999994</v>
      </c>
      <c r="M43">
        <v>24</v>
      </c>
      <c r="N43" t="s">
        <v>60</v>
      </c>
      <c r="O43">
        <v>80.239999999999995</v>
      </c>
      <c r="P43">
        <v>40</v>
      </c>
      <c r="Q43" t="s">
        <v>60</v>
      </c>
      <c r="R43">
        <v>66.23</v>
      </c>
      <c r="S43">
        <v>38</v>
      </c>
      <c r="U43">
        <f t="shared" si="0"/>
        <v>53.9</v>
      </c>
      <c r="V43">
        <f t="shared" si="1"/>
        <v>80.239999999999995</v>
      </c>
      <c r="W43">
        <f t="shared" si="2"/>
        <v>65.961666666666659</v>
      </c>
      <c r="X43">
        <f t="shared" si="3"/>
        <v>67.069999999999993</v>
      </c>
      <c r="Y43">
        <f t="shared" si="4"/>
        <v>1.1083333333333343</v>
      </c>
      <c r="AA43">
        <f t="shared" si="5"/>
        <v>2.2166666666666686</v>
      </c>
      <c r="AB43">
        <f t="shared" si="6"/>
        <v>26.339999999999996</v>
      </c>
      <c r="AE43">
        <f t="shared" si="7"/>
        <v>8.4155909896228884E-2</v>
      </c>
      <c r="AG43">
        <f t="shared" si="8"/>
        <v>8.4155909896228884E-2</v>
      </c>
    </row>
    <row r="44" spans="1:33" x14ac:dyDescent="0.35">
      <c r="A44" s="1">
        <v>43</v>
      </c>
      <c r="B44" t="s">
        <v>61</v>
      </c>
      <c r="C44">
        <v>65.5</v>
      </c>
      <c r="D44">
        <v>16</v>
      </c>
      <c r="E44" t="s">
        <v>61</v>
      </c>
      <c r="F44">
        <v>59.9</v>
      </c>
      <c r="G44">
        <v>19</v>
      </c>
      <c r="H44" t="s">
        <v>61</v>
      </c>
      <c r="I44">
        <v>71</v>
      </c>
      <c r="J44">
        <v>20</v>
      </c>
      <c r="K44" t="s">
        <v>61</v>
      </c>
      <c r="L44">
        <v>67.680000000000007</v>
      </c>
      <c r="M44">
        <v>32</v>
      </c>
      <c r="N44" t="s">
        <v>61</v>
      </c>
      <c r="O44">
        <v>84.67</v>
      </c>
      <c r="P44">
        <v>27</v>
      </c>
      <c r="Q44" t="s">
        <v>61</v>
      </c>
      <c r="R44">
        <v>81.47</v>
      </c>
      <c r="S44">
        <v>5</v>
      </c>
      <c r="U44">
        <f t="shared" si="0"/>
        <v>59.9</v>
      </c>
      <c r="V44">
        <f t="shared" si="1"/>
        <v>84.67</v>
      </c>
      <c r="W44">
        <f t="shared" si="2"/>
        <v>71.703333333333333</v>
      </c>
      <c r="X44">
        <f t="shared" si="3"/>
        <v>72.284999999999997</v>
      </c>
      <c r="Y44">
        <f t="shared" si="4"/>
        <v>0.58166666666666345</v>
      </c>
      <c r="AA44">
        <f t="shared" si="5"/>
        <v>1.1633333333333269</v>
      </c>
      <c r="AB44">
        <f t="shared" si="6"/>
        <v>24.770000000000003</v>
      </c>
      <c r="AE44">
        <f t="shared" si="7"/>
        <v>4.6965415152738263E-2</v>
      </c>
      <c r="AG44">
        <f t="shared" si="8"/>
        <v>4.6965415152738263E-2</v>
      </c>
    </row>
    <row r="45" spans="1:33" x14ac:dyDescent="0.35">
      <c r="A45" s="1">
        <v>44</v>
      </c>
      <c r="B45" t="s">
        <v>62</v>
      </c>
      <c r="C45">
        <v>39.5</v>
      </c>
      <c r="D45">
        <v>105</v>
      </c>
      <c r="E45" t="s">
        <v>62</v>
      </c>
      <c r="F45">
        <v>36.9</v>
      </c>
      <c r="G45">
        <v>99</v>
      </c>
      <c r="H45" t="s">
        <v>62</v>
      </c>
      <c r="I45">
        <v>36.4</v>
      </c>
      <c r="J45">
        <v>108</v>
      </c>
      <c r="K45" t="s">
        <v>62</v>
      </c>
      <c r="L45">
        <v>30.41</v>
      </c>
      <c r="M45">
        <v>169</v>
      </c>
      <c r="N45" t="s">
        <v>62</v>
      </c>
      <c r="O45">
        <v>42.05</v>
      </c>
      <c r="P45">
        <v>163</v>
      </c>
      <c r="Q45" t="s">
        <v>62</v>
      </c>
      <c r="R45">
        <v>25.01</v>
      </c>
      <c r="S45">
        <v>166</v>
      </c>
      <c r="U45">
        <f t="shared" si="0"/>
        <v>25.01</v>
      </c>
      <c r="V45">
        <f t="shared" si="1"/>
        <v>42.05</v>
      </c>
      <c r="W45">
        <f t="shared" si="2"/>
        <v>35.044999999999995</v>
      </c>
      <c r="X45">
        <f t="shared" si="3"/>
        <v>33.53</v>
      </c>
      <c r="Y45">
        <f t="shared" si="4"/>
        <v>-1.5149999999999935</v>
      </c>
      <c r="AA45">
        <f t="shared" si="5"/>
        <v>-3.0299999999999869</v>
      </c>
      <c r="AB45">
        <f t="shared" si="6"/>
        <v>17.039999999999996</v>
      </c>
      <c r="AE45">
        <f t="shared" si="7"/>
        <v>-0.17781690140845</v>
      </c>
      <c r="AG45">
        <f t="shared" si="8"/>
        <v>0.17781690140845</v>
      </c>
    </row>
    <row r="46" spans="1:33" x14ac:dyDescent="0.35">
      <c r="A46" s="1">
        <v>45</v>
      </c>
      <c r="B46" t="s">
        <v>63</v>
      </c>
      <c r="C46">
        <v>67.7</v>
      </c>
      <c r="D46">
        <v>10</v>
      </c>
      <c r="E46" t="s">
        <v>63</v>
      </c>
      <c r="F46">
        <v>77.900000000000006</v>
      </c>
      <c r="G46">
        <v>1</v>
      </c>
      <c r="H46" t="s">
        <v>63</v>
      </c>
      <c r="I46">
        <v>82.5</v>
      </c>
      <c r="J46">
        <v>1</v>
      </c>
      <c r="K46" t="s">
        <v>63</v>
      </c>
      <c r="L46">
        <v>81.599999999999994</v>
      </c>
      <c r="M46">
        <v>3</v>
      </c>
      <c r="N46" t="s">
        <v>63</v>
      </c>
      <c r="O46">
        <v>89.21</v>
      </c>
      <c r="P46">
        <v>4</v>
      </c>
      <c r="Q46" t="s">
        <v>63</v>
      </c>
      <c r="R46">
        <v>76.92</v>
      </c>
      <c r="S46">
        <v>13</v>
      </c>
      <c r="U46">
        <f t="shared" si="0"/>
        <v>67.7</v>
      </c>
      <c r="V46">
        <f t="shared" si="1"/>
        <v>89.21</v>
      </c>
      <c r="W46">
        <f t="shared" si="2"/>
        <v>79.305000000000007</v>
      </c>
      <c r="X46">
        <f t="shared" si="3"/>
        <v>78.454999999999998</v>
      </c>
      <c r="Y46">
        <f t="shared" si="4"/>
        <v>-0.85000000000000853</v>
      </c>
      <c r="AA46">
        <f t="shared" si="5"/>
        <v>-1.7000000000000171</v>
      </c>
      <c r="AB46">
        <f t="shared" si="6"/>
        <v>21.509999999999991</v>
      </c>
      <c r="AE46">
        <f t="shared" si="7"/>
        <v>-7.9033007903301616E-2</v>
      </c>
      <c r="AG46">
        <f t="shared" si="8"/>
        <v>7.9033007903301616E-2</v>
      </c>
    </row>
    <row r="47" spans="1:33" x14ac:dyDescent="0.35">
      <c r="A47" s="1">
        <v>46</v>
      </c>
      <c r="B47" t="s">
        <v>64</v>
      </c>
      <c r="C47">
        <v>32.299999999999997</v>
      </c>
      <c r="D47">
        <v>135</v>
      </c>
      <c r="E47" t="s">
        <v>64</v>
      </c>
      <c r="F47">
        <v>47.5</v>
      </c>
      <c r="G47">
        <v>53</v>
      </c>
      <c r="H47" t="s">
        <v>64</v>
      </c>
      <c r="I47">
        <v>28.1</v>
      </c>
      <c r="J47">
        <v>138</v>
      </c>
      <c r="K47" t="s">
        <v>64</v>
      </c>
      <c r="L47">
        <v>40.04</v>
      </c>
      <c r="M47">
        <v>154</v>
      </c>
      <c r="N47" t="s">
        <v>64</v>
      </c>
      <c r="O47">
        <v>45.29</v>
      </c>
      <c r="P47">
        <v>156</v>
      </c>
      <c r="Q47" t="s">
        <v>64</v>
      </c>
      <c r="R47">
        <v>28.52</v>
      </c>
      <c r="S47">
        <v>157</v>
      </c>
      <c r="U47">
        <f t="shared" si="0"/>
        <v>28.1</v>
      </c>
      <c r="V47">
        <f t="shared" si="1"/>
        <v>47.5</v>
      </c>
      <c r="W47">
        <f t="shared" si="2"/>
        <v>36.958333333333336</v>
      </c>
      <c r="X47">
        <f t="shared" si="3"/>
        <v>37.799999999999997</v>
      </c>
      <c r="Y47">
        <f t="shared" si="4"/>
        <v>0.84166666666666146</v>
      </c>
      <c r="AA47">
        <f t="shared" si="5"/>
        <v>1.6833333333333229</v>
      </c>
      <c r="AB47">
        <f t="shared" si="6"/>
        <v>19.399999999999999</v>
      </c>
      <c r="AE47">
        <f t="shared" si="7"/>
        <v>8.6769759450171291E-2</v>
      </c>
      <c r="AG47">
        <f t="shared" si="8"/>
        <v>8.6769759450171291E-2</v>
      </c>
    </row>
    <row r="48" spans="1:33" x14ac:dyDescent="0.35">
      <c r="A48" s="1">
        <v>47</v>
      </c>
      <c r="B48" t="s">
        <v>65</v>
      </c>
      <c r="C48">
        <v>49.3</v>
      </c>
      <c r="D48">
        <v>56</v>
      </c>
      <c r="E48" t="s">
        <v>65</v>
      </c>
      <c r="F48">
        <v>51.2</v>
      </c>
      <c r="G48">
        <v>38</v>
      </c>
      <c r="H48" t="s">
        <v>65</v>
      </c>
      <c r="I48">
        <v>44.6</v>
      </c>
      <c r="J48">
        <v>78</v>
      </c>
      <c r="K48" t="s">
        <v>65</v>
      </c>
      <c r="L48">
        <v>59.38</v>
      </c>
      <c r="M48">
        <v>71</v>
      </c>
      <c r="N48" t="s">
        <v>65</v>
      </c>
      <c r="O48">
        <v>73.25</v>
      </c>
      <c r="P48">
        <v>70</v>
      </c>
      <c r="Q48" t="s">
        <v>65</v>
      </c>
      <c r="R48">
        <v>47.08</v>
      </c>
      <c r="S48">
        <v>100</v>
      </c>
      <c r="U48">
        <f t="shared" si="0"/>
        <v>44.6</v>
      </c>
      <c r="V48">
        <f t="shared" si="1"/>
        <v>73.25</v>
      </c>
      <c r="W48">
        <f t="shared" si="2"/>
        <v>54.134999999999998</v>
      </c>
      <c r="X48">
        <f t="shared" si="3"/>
        <v>58.924999999999997</v>
      </c>
      <c r="Y48">
        <f t="shared" si="4"/>
        <v>4.7899999999999991</v>
      </c>
      <c r="AA48">
        <f t="shared" si="5"/>
        <v>9.5799999999999983</v>
      </c>
      <c r="AB48">
        <f t="shared" si="6"/>
        <v>28.65</v>
      </c>
      <c r="AE48">
        <f t="shared" si="7"/>
        <v>0.33438045375218145</v>
      </c>
      <c r="AG48">
        <f t="shared" si="8"/>
        <v>0.33438045375218145</v>
      </c>
    </row>
    <row r="49" spans="1:33" x14ac:dyDescent="0.35">
      <c r="A49" s="1">
        <v>48</v>
      </c>
      <c r="B49" t="s">
        <v>66</v>
      </c>
      <c r="C49">
        <v>47.7</v>
      </c>
      <c r="D49">
        <v>64</v>
      </c>
      <c r="E49" t="s">
        <v>66</v>
      </c>
      <c r="F49">
        <v>42.2</v>
      </c>
      <c r="G49">
        <v>74</v>
      </c>
      <c r="H49" t="s">
        <v>66</v>
      </c>
      <c r="I49">
        <v>46.3</v>
      </c>
      <c r="J49">
        <v>70</v>
      </c>
      <c r="K49" t="s">
        <v>66</v>
      </c>
      <c r="L49">
        <v>64.709999999999994</v>
      </c>
      <c r="M49">
        <v>44</v>
      </c>
      <c r="N49" t="s">
        <v>66</v>
      </c>
      <c r="O49">
        <v>75.319999999999993</v>
      </c>
      <c r="P49">
        <v>58</v>
      </c>
      <c r="Q49" t="s">
        <v>66</v>
      </c>
      <c r="R49">
        <v>53.24</v>
      </c>
      <c r="S49">
        <v>74</v>
      </c>
      <c r="U49">
        <f t="shared" si="0"/>
        <v>42.2</v>
      </c>
      <c r="V49">
        <f t="shared" si="1"/>
        <v>75.319999999999993</v>
      </c>
      <c r="W49">
        <f t="shared" si="2"/>
        <v>54.911666666666662</v>
      </c>
      <c r="X49">
        <f t="shared" si="3"/>
        <v>58.76</v>
      </c>
      <c r="Y49">
        <f t="shared" si="4"/>
        <v>3.8483333333333363</v>
      </c>
      <c r="AA49">
        <f t="shared" si="5"/>
        <v>7.6966666666666725</v>
      </c>
      <c r="AB49">
        <f t="shared" si="6"/>
        <v>33.11999999999999</v>
      </c>
      <c r="AE49">
        <f t="shared" si="7"/>
        <v>0.23238727858293101</v>
      </c>
      <c r="AG49">
        <f t="shared" si="8"/>
        <v>0.23238727858293101</v>
      </c>
    </row>
    <row r="50" spans="1:33" x14ac:dyDescent="0.35">
      <c r="A50" s="1">
        <v>49</v>
      </c>
      <c r="B50" t="s">
        <v>67</v>
      </c>
      <c r="C50">
        <v>51.3</v>
      </c>
      <c r="D50">
        <v>48</v>
      </c>
      <c r="E50" t="s">
        <v>67</v>
      </c>
      <c r="F50">
        <v>46.5</v>
      </c>
      <c r="G50">
        <v>57</v>
      </c>
      <c r="H50" t="s">
        <v>67</v>
      </c>
      <c r="I50">
        <v>51</v>
      </c>
      <c r="J50">
        <v>54</v>
      </c>
      <c r="K50" t="s">
        <v>67</v>
      </c>
      <c r="L50">
        <v>57.42</v>
      </c>
      <c r="M50">
        <v>84</v>
      </c>
      <c r="N50" t="s">
        <v>67</v>
      </c>
      <c r="O50">
        <v>66.58</v>
      </c>
      <c r="P50">
        <v>100</v>
      </c>
      <c r="Q50" t="s">
        <v>67</v>
      </c>
      <c r="R50">
        <v>58.54</v>
      </c>
      <c r="S50">
        <v>53</v>
      </c>
      <c r="U50">
        <f t="shared" si="0"/>
        <v>46.5</v>
      </c>
      <c r="V50">
        <f t="shared" si="1"/>
        <v>66.58</v>
      </c>
      <c r="W50">
        <f t="shared" si="2"/>
        <v>55.223333333333336</v>
      </c>
      <c r="X50">
        <f t="shared" si="3"/>
        <v>56.54</v>
      </c>
      <c r="Y50">
        <f t="shared" si="4"/>
        <v>1.3166666666666629</v>
      </c>
      <c r="AA50">
        <f t="shared" si="5"/>
        <v>2.6333333333333258</v>
      </c>
      <c r="AB50">
        <f t="shared" si="6"/>
        <v>20.079999999999998</v>
      </c>
      <c r="AE50">
        <f t="shared" si="7"/>
        <v>0.13114209827357201</v>
      </c>
      <c r="AG50">
        <f t="shared" si="8"/>
        <v>0.13114209827357201</v>
      </c>
    </row>
    <row r="51" spans="1:33" x14ac:dyDescent="0.35">
      <c r="A51" s="1">
        <v>50</v>
      </c>
      <c r="B51" t="s">
        <v>68</v>
      </c>
      <c r="C51">
        <v>43.7</v>
      </c>
      <c r="D51">
        <v>84</v>
      </c>
      <c r="E51" t="s">
        <v>68</v>
      </c>
      <c r="F51">
        <v>35.5</v>
      </c>
      <c r="G51">
        <v>104</v>
      </c>
      <c r="H51" t="s">
        <v>68</v>
      </c>
      <c r="I51">
        <v>43.3</v>
      </c>
      <c r="J51">
        <v>84</v>
      </c>
      <c r="K51" t="s">
        <v>68</v>
      </c>
      <c r="L51">
        <v>61.21</v>
      </c>
      <c r="M51">
        <v>64</v>
      </c>
      <c r="N51" t="s">
        <v>68</v>
      </c>
      <c r="O51">
        <v>66.45</v>
      </c>
      <c r="P51">
        <v>101</v>
      </c>
      <c r="Q51" t="s">
        <v>68</v>
      </c>
      <c r="R51">
        <v>61.11</v>
      </c>
      <c r="S51">
        <v>50</v>
      </c>
      <c r="U51">
        <f t="shared" si="0"/>
        <v>35.5</v>
      </c>
      <c r="V51">
        <f t="shared" si="1"/>
        <v>66.45</v>
      </c>
      <c r="W51">
        <f t="shared" si="2"/>
        <v>51.878333333333337</v>
      </c>
      <c r="X51">
        <f t="shared" si="3"/>
        <v>50.975000000000001</v>
      </c>
      <c r="Y51">
        <f t="shared" si="4"/>
        <v>-0.90333333333333599</v>
      </c>
      <c r="AA51">
        <f t="shared" si="5"/>
        <v>-1.806666666666672</v>
      </c>
      <c r="AB51">
        <f t="shared" si="6"/>
        <v>30.950000000000003</v>
      </c>
      <c r="AE51">
        <f t="shared" si="7"/>
        <v>-5.8373721055465969E-2</v>
      </c>
      <c r="AG51">
        <f t="shared" si="8"/>
        <v>5.8373721055465969E-2</v>
      </c>
    </row>
    <row r="52" spans="1:33" x14ac:dyDescent="0.35">
      <c r="A52" s="1">
        <v>51</v>
      </c>
      <c r="B52" t="s">
        <v>69</v>
      </c>
      <c r="C52">
        <v>41.6</v>
      </c>
      <c r="D52">
        <v>96</v>
      </c>
      <c r="E52" t="s">
        <v>69</v>
      </c>
      <c r="F52">
        <v>40.799999999999997</v>
      </c>
      <c r="G52">
        <v>79</v>
      </c>
      <c r="H52" t="s">
        <v>69</v>
      </c>
      <c r="I52">
        <v>43.1</v>
      </c>
      <c r="J52">
        <v>85</v>
      </c>
      <c r="K52" t="s">
        <v>69</v>
      </c>
      <c r="L52">
        <v>53.91</v>
      </c>
      <c r="M52">
        <v>100</v>
      </c>
      <c r="N52" t="s">
        <v>69</v>
      </c>
      <c r="O52">
        <v>68.069999999999993</v>
      </c>
      <c r="P52">
        <v>95</v>
      </c>
      <c r="Q52" t="s">
        <v>69</v>
      </c>
      <c r="R52">
        <v>43.79</v>
      </c>
      <c r="S52">
        <v>113</v>
      </c>
      <c r="U52">
        <f t="shared" si="0"/>
        <v>40.799999999999997</v>
      </c>
      <c r="V52">
        <f t="shared" si="1"/>
        <v>68.069999999999993</v>
      </c>
      <c r="W52">
        <f t="shared" si="2"/>
        <v>48.544999999999995</v>
      </c>
      <c r="X52">
        <f t="shared" si="3"/>
        <v>54.434999999999995</v>
      </c>
      <c r="Y52">
        <f t="shared" si="4"/>
        <v>5.8900000000000006</v>
      </c>
      <c r="AA52">
        <f t="shared" si="5"/>
        <v>11.780000000000001</v>
      </c>
      <c r="AB52">
        <f t="shared" si="6"/>
        <v>27.269999999999996</v>
      </c>
      <c r="AE52">
        <f t="shared" si="7"/>
        <v>0.43197653098643207</v>
      </c>
      <c r="AG52">
        <f t="shared" si="8"/>
        <v>0.43197653098643207</v>
      </c>
    </row>
    <row r="53" spans="1:33" x14ac:dyDescent="0.35">
      <c r="A53" s="1">
        <v>52</v>
      </c>
      <c r="B53" t="s">
        <v>70</v>
      </c>
      <c r="C53">
        <v>41.7</v>
      </c>
      <c r="D53">
        <v>95</v>
      </c>
      <c r="E53" t="s">
        <v>70</v>
      </c>
      <c r="F53">
        <v>44.8</v>
      </c>
      <c r="G53">
        <v>67</v>
      </c>
      <c r="H53" t="s">
        <v>70</v>
      </c>
      <c r="I53">
        <v>38.1</v>
      </c>
      <c r="J53">
        <v>101</v>
      </c>
      <c r="K53" t="s">
        <v>70</v>
      </c>
      <c r="L53">
        <v>60.4</v>
      </c>
      <c r="M53">
        <v>69</v>
      </c>
      <c r="N53" t="s">
        <v>70</v>
      </c>
      <c r="O53">
        <v>69.59</v>
      </c>
      <c r="P53">
        <v>88</v>
      </c>
      <c r="Q53" t="s">
        <v>70</v>
      </c>
      <c r="R53">
        <v>41.06</v>
      </c>
      <c r="S53">
        <v>120</v>
      </c>
      <c r="U53">
        <f t="shared" si="0"/>
        <v>38.1</v>
      </c>
      <c r="V53">
        <f t="shared" si="1"/>
        <v>69.59</v>
      </c>
      <c r="W53">
        <f t="shared" si="2"/>
        <v>49.274999999999999</v>
      </c>
      <c r="X53">
        <f t="shared" si="3"/>
        <v>53.844999999999999</v>
      </c>
      <c r="Y53">
        <f t="shared" si="4"/>
        <v>4.57</v>
      </c>
      <c r="AA53">
        <f t="shared" si="5"/>
        <v>9.14</v>
      </c>
      <c r="AB53">
        <f t="shared" si="6"/>
        <v>31.490000000000002</v>
      </c>
      <c r="AE53">
        <f t="shared" si="7"/>
        <v>0.29025087329310895</v>
      </c>
      <c r="AG53">
        <f t="shared" si="8"/>
        <v>0.29025087329310895</v>
      </c>
    </row>
    <row r="54" spans="1:33" x14ac:dyDescent="0.35">
      <c r="A54" s="1">
        <v>53</v>
      </c>
      <c r="B54" t="s">
        <v>71</v>
      </c>
      <c r="C54">
        <v>29</v>
      </c>
      <c r="D54">
        <v>141</v>
      </c>
      <c r="E54" t="s">
        <v>71</v>
      </c>
      <c r="F54">
        <v>31.7</v>
      </c>
      <c r="G54">
        <v>118</v>
      </c>
      <c r="H54" t="s">
        <v>71</v>
      </c>
      <c r="I54">
        <v>30.4</v>
      </c>
      <c r="J54">
        <v>130</v>
      </c>
      <c r="K54" t="s">
        <v>71</v>
      </c>
      <c r="L54">
        <v>39.340000000000003</v>
      </c>
      <c r="M54">
        <v>156</v>
      </c>
      <c r="N54" t="s">
        <v>71</v>
      </c>
      <c r="O54">
        <v>36.729999999999997</v>
      </c>
      <c r="P54">
        <v>171</v>
      </c>
      <c r="Q54" t="s">
        <v>71</v>
      </c>
      <c r="R54">
        <v>25.76</v>
      </c>
      <c r="S54">
        <v>164</v>
      </c>
      <c r="U54">
        <f t="shared" si="0"/>
        <v>25.76</v>
      </c>
      <c r="V54">
        <f t="shared" si="1"/>
        <v>39.340000000000003</v>
      </c>
      <c r="W54">
        <f t="shared" si="2"/>
        <v>32.154999999999994</v>
      </c>
      <c r="X54">
        <f t="shared" si="3"/>
        <v>32.550000000000004</v>
      </c>
      <c r="Y54">
        <f t="shared" si="4"/>
        <v>0.39500000000001023</v>
      </c>
      <c r="AA54">
        <f t="shared" si="5"/>
        <v>0.79000000000002046</v>
      </c>
      <c r="AB54">
        <f t="shared" si="6"/>
        <v>13.580000000000002</v>
      </c>
      <c r="AE54">
        <f t="shared" si="7"/>
        <v>5.817378497791019E-2</v>
      </c>
      <c r="AG54">
        <f t="shared" si="8"/>
        <v>5.817378497791019E-2</v>
      </c>
    </row>
    <row r="55" spans="1:33" x14ac:dyDescent="0.35">
      <c r="A55" s="1">
        <v>54</v>
      </c>
      <c r="B55" t="s">
        <v>72</v>
      </c>
      <c r="C55">
        <v>75.7</v>
      </c>
      <c r="D55">
        <v>1</v>
      </c>
      <c r="E55" t="s">
        <v>72</v>
      </c>
      <c r="F55">
        <v>61.4</v>
      </c>
      <c r="G55">
        <v>14</v>
      </c>
      <c r="H55" t="s">
        <v>72</v>
      </c>
      <c r="I55">
        <v>65.3</v>
      </c>
      <c r="J55">
        <v>28</v>
      </c>
      <c r="K55" t="s">
        <v>72</v>
      </c>
      <c r="L55">
        <v>64.31</v>
      </c>
      <c r="M55">
        <v>46</v>
      </c>
      <c r="N55" t="s">
        <v>72</v>
      </c>
      <c r="O55">
        <v>88.59</v>
      </c>
      <c r="P55">
        <v>8</v>
      </c>
      <c r="Q55" t="s">
        <v>72</v>
      </c>
      <c r="R55">
        <v>74.66</v>
      </c>
      <c r="S55">
        <v>20</v>
      </c>
      <c r="U55">
        <f t="shared" si="0"/>
        <v>61.4</v>
      </c>
      <c r="V55">
        <f t="shared" si="1"/>
        <v>88.59</v>
      </c>
      <c r="W55">
        <f t="shared" si="2"/>
        <v>71.659999999999982</v>
      </c>
      <c r="X55">
        <f t="shared" si="3"/>
        <v>74.995000000000005</v>
      </c>
      <c r="Y55">
        <f t="shared" si="4"/>
        <v>3.3350000000000222</v>
      </c>
      <c r="AA55">
        <f t="shared" si="5"/>
        <v>6.6700000000000443</v>
      </c>
      <c r="AB55">
        <f t="shared" si="6"/>
        <v>27.190000000000005</v>
      </c>
      <c r="AE55">
        <f t="shared" si="7"/>
        <v>0.24531077602059739</v>
      </c>
      <c r="AG55">
        <f t="shared" si="8"/>
        <v>0.24531077602059739</v>
      </c>
    </row>
    <row r="56" spans="1:33" x14ac:dyDescent="0.35">
      <c r="A56" s="1">
        <v>55</v>
      </c>
      <c r="B56" t="s">
        <v>73</v>
      </c>
      <c r="C56">
        <v>38.700000000000003</v>
      </c>
      <c r="D56">
        <v>109</v>
      </c>
      <c r="E56" t="s">
        <v>73</v>
      </c>
      <c r="F56">
        <v>44.9</v>
      </c>
      <c r="G56">
        <v>66</v>
      </c>
      <c r="H56" t="s">
        <v>73</v>
      </c>
      <c r="I56">
        <v>33.799999999999997</v>
      </c>
      <c r="J56">
        <v>116</v>
      </c>
      <c r="K56" t="s">
        <v>73</v>
      </c>
      <c r="L56">
        <v>40.32</v>
      </c>
      <c r="M56">
        <v>153</v>
      </c>
      <c r="N56" t="s">
        <v>73</v>
      </c>
      <c r="O56">
        <v>60.63</v>
      </c>
      <c r="P56">
        <v>119</v>
      </c>
      <c r="Q56" t="s">
        <v>73</v>
      </c>
      <c r="R56">
        <v>37.35</v>
      </c>
      <c r="S56">
        <v>135</v>
      </c>
      <c r="U56">
        <f t="shared" si="0"/>
        <v>33.799999999999997</v>
      </c>
      <c r="V56">
        <f t="shared" si="1"/>
        <v>60.63</v>
      </c>
      <c r="W56">
        <f t="shared" si="2"/>
        <v>42.616666666666667</v>
      </c>
      <c r="X56">
        <f t="shared" si="3"/>
        <v>47.215000000000003</v>
      </c>
      <c r="Y56">
        <f t="shared" si="4"/>
        <v>4.5983333333333363</v>
      </c>
      <c r="AA56">
        <f t="shared" si="5"/>
        <v>9.1966666666666725</v>
      </c>
      <c r="AB56">
        <f t="shared" si="6"/>
        <v>26.830000000000005</v>
      </c>
      <c r="AE56">
        <f t="shared" si="7"/>
        <v>0.34277550006211965</v>
      </c>
      <c r="AG56">
        <f t="shared" si="8"/>
        <v>0.34277550006211965</v>
      </c>
    </row>
    <row r="57" spans="1:33" x14ac:dyDescent="0.35">
      <c r="A57" s="1">
        <v>56</v>
      </c>
      <c r="B57" t="s">
        <v>74</v>
      </c>
      <c r="C57">
        <v>36.299999999999997</v>
      </c>
      <c r="D57">
        <v>120</v>
      </c>
      <c r="E57" t="s">
        <v>74</v>
      </c>
      <c r="F57">
        <v>31.8</v>
      </c>
      <c r="G57">
        <v>117</v>
      </c>
      <c r="H57" t="s">
        <v>74</v>
      </c>
      <c r="I57">
        <v>34.4</v>
      </c>
      <c r="J57">
        <v>114</v>
      </c>
      <c r="K57" t="s">
        <v>74</v>
      </c>
      <c r="L57">
        <v>44.78</v>
      </c>
      <c r="M57">
        <v>132</v>
      </c>
      <c r="N57" t="s">
        <v>74</v>
      </c>
      <c r="O57">
        <v>45.83</v>
      </c>
      <c r="P57">
        <v>155</v>
      </c>
      <c r="Q57" t="s">
        <v>74</v>
      </c>
      <c r="R57">
        <v>39.43</v>
      </c>
      <c r="S57">
        <v>128</v>
      </c>
      <c r="U57">
        <f t="shared" si="0"/>
        <v>31.8</v>
      </c>
      <c r="V57">
        <f t="shared" si="1"/>
        <v>45.83</v>
      </c>
      <c r="W57">
        <f t="shared" si="2"/>
        <v>38.756666666666668</v>
      </c>
      <c r="X57">
        <f t="shared" si="3"/>
        <v>38.814999999999998</v>
      </c>
      <c r="Y57">
        <f t="shared" si="4"/>
        <v>5.8333333333330017E-2</v>
      </c>
      <c r="AA57">
        <f t="shared" si="5"/>
        <v>0.11666666666666003</v>
      </c>
      <c r="AB57">
        <f t="shared" si="6"/>
        <v>14.029999999999998</v>
      </c>
      <c r="AE57">
        <f t="shared" si="7"/>
        <v>8.3155143739600899E-3</v>
      </c>
      <c r="AG57">
        <f t="shared" si="8"/>
        <v>8.3155143739600899E-3</v>
      </c>
    </row>
    <row r="58" spans="1:33" x14ac:dyDescent="0.35">
      <c r="A58" s="1">
        <v>57</v>
      </c>
      <c r="B58" t="s">
        <v>75</v>
      </c>
      <c r="C58">
        <v>46</v>
      </c>
      <c r="D58">
        <v>72</v>
      </c>
      <c r="E58" t="s">
        <v>75</v>
      </c>
      <c r="F58">
        <v>31.3</v>
      </c>
      <c r="G58">
        <v>120</v>
      </c>
      <c r="H58" t="s">
        <v>75</v>
      </c>
      <c r="I58">
        <v>34.4</v>
      </c>
      <c r="J58">
        <v>114</v>
      </c>
      <c r="K58" t="s">
        <v>75</v>
      </c>
      <c r="L58">
        <v>53.09</v>
      </c>
      <c r="M58">
        <v>101</v>
      </c>
      <c r="N58" t="s">
        <v>75</v>
      </c>
      <c r="O58">
        <v>75.290000000000006</v>
      </c>
      <c r="P58">
        <v>59</v>
      </c>
      <c r="Q58" t="s">
        <v>75</v>
      </c>
      <c r="R58">
        <v>53.08</v>
      </c>
      <c r="S58">
        <v>75</v>
      </c>
      <c r="U58">
        <f t="shared" si="0"/>
        <v>31.3</v>
      </c>
      <c r="V58">
        <f t="shared" si="1"/>
        <v>75.290000000000006</v>
      </c>
      <c r="W58">
        <f t="shared" si="2"/>
        <v>48.859999999999992</v>
      </c>
      <c r="X58">
        <f t="shared" si="3"/>
        <v>53.295000000000002</v>
      </c>
      <c r="Y58">
        <f t="shared" si="4"/>
        <v>4.4350000000000094</v>
      </c>
      <c r="AA58">
        <f t="shared" si="5"/>
        <v>8.8700000000000188</v>
      </c>
      <c r="AB58">
        <f t="shared" si="6"/>
        <v>43.990000000000009</v>
      </c>
      <c r="AE58">
        <f t="shared" si="7"/>
        <v>0.20163673562173259</v>
      </c>
      <c r="AG58">
        <f t="shared" si="8"/>
        <v>0.20163673562173259</v>
      </c>
    </row>
    <row r="59" spans="1:33" x14ac:dyDescent="0.35">
      <c r="A59" s="1">
        <v>58</v>
      </c>
      <c r="B59" t="s">
        <v>76</v>
      </c>
      <c r="C59">
        <v>73.8</v>
      </c>
      <c r="D59">
        <v>4</v>
      </c>
      <c r="E59" t="s">
        <v>76</v>
      </c>
      <c r="F59">
        <v>76.5</v>
      </c>
      <c r="G59">
        <v>3</v>
      </c>
      <c r="H59" t="s">
        <v>76</v>
      </c>
      <c r="I59">
        <v>78.900000000000006</v>
      </c>
      <c r="J59">
        <v>7</v>
      </c>
      <c r="K59" t="s">
        <v>76</v>
      </c>
      <c r="L59">
        <v>78.64</v>
      </c>
      <c r="M59">
        <v>10</v>
      </c>
      <c r="N59" t="s">
        <v>76</v>
      </c>
      <c r="O59">
        <v>90.68</v>
      </c>
      <c r="P59">
        <v>1</v>
      </c>
      <c r="Q59" t="s">
        <v>76</v>
      </c>
      <c r="R59">
        <v>75.72</v>
      </c>
      <c r="S59">
        <v>18</v>
      </c>
      <c r="U59">
        <f t="shared" si="0"/>
        <v>73.8</v>
      </c>
      <c r="V59">
        <f t="shared" si="1"/>
        <v>90.68</v>
      </c>
      <c r="W59">
        <f t="shared" si="2"/>
        <v>79.040000000000006</v>
      </c>
      <c r="X59">
        <f t="shared" si="3"/>
        <v>82.240000000000009</v>
      </c>
      <c r="Y59">
        <f t="shared" si="4"/>
        <v>3.2000000000000028</v>
      </c>
      <c r="AA59">
        <f t="shared" si="5"/>
        <v>6.4000000000000057</v>
      </c>
      <c r="AB59">
        <f t="shared" si="6"/>
        <v>16.88000000000001</v>
      </c>
      <c r="AE59">
        <f t="shared" si="7"/>
        <v>0.37914691943127976</v>
      </c>
      <c r="AG59">
        <f t="shared" si="8"/>
        <v>0.37914691943127976</v>
      </c>
    </row>
    <row r="60" spans="1:33" x14ac:dyDescent="0.35">
      <c r="A60" s="1">
        <v>59</v>
      </c>
      <c r="B60" t="s">
        <v>77</v>
      </c>
      <c r="C60">
        <v>67</v>
      </c>
      <c r="D60">
        <v>12</v>
      </c>
      <c r="E60" t="s">
        <v>77</v>
      </c>
      <c r="F60">
        <v>62.5</v>
      </c>
      <c r="G60">
        <v>12</v>
      </c>
      <c r="H60" t="s">
        <v>77</v>
      </c>
      <c r="I60">
        <v>80</v>
      </c>
      <c r="J60">
        <v>5</v>
      </c>
      <c r="K60" t="s">
        <v>77</v>
      </c>
      <c r="L60">
        <v>83.95</v>
      </c>
      <c r="M60">
        <v>2</v>
      </c>
      <c r="N60" t="s">
        <v>77</v>
      </c>
      <c r="O60">
        <v>88.2</v>
      </c>
      <c r="P60">
        <v>10</v>
      </c>
      <c r="Q60" t="s">
        <v>77</v>
      </c>
      <c r="R60">
        <v>71.05</v>
      </c>
      <c r="S60">
        <v>27</v>
      </c>
      <c r="U60">
        <f t="shared" si="0"/>
        <v>62.5</v>
      </c>
      <c r="V60">
        <f t="shared" si="1"/>
        <v>88.2</v>
      </c>
      <c r="W60">
        <f t="shared" si="2"/>
        <v>75.45</v>
      </c>
      <c r="X60">
        <f t="shared" si="3"/>
        <v>75.349999999999994</v>
      </c>
      <c r="Y60">
        <f t="shared" si="4"/>
        <v>-0.10000000000000853</v>
      </c>
      <c r="AA60">
        <f t="shared" si="5"/>
        <v>-0.20000000000001705</v>
      </c>
      <c r="AB60">
        <f t="shared" si="6"/>
        <v>25.700000000000003</v>
      </c>
      <c r="AE60">
        <f t="shared" si="7"/>
        <v>-7.7821011673158379E-3</v>
      </c>
      <c r="AG60">
        <f t="shared" si="8"/>
        <v>7.7821011673158379E-3</v>
      </c>
    </row>
    <row r="61" spans="1:33" x14ac:dyDescent="0.35">
      <c r="A61" s="1">
        <v>60</v>
      </c>
      <c r="B61" t="s">
        <v>78</v>
      </c>
      <c r="C61">
        <v>53.3</v>
      </c>
      <c r="D61">
        <v>41</v>
      </c>
      <c r="E61" t="s">
        <v>78</v>
      </c>
      <c r="F61">
        <v>49.7</v>
      </c>
      <c r="G61">
        <v>45</v>
      </c>
      <c r="H61" t="s">
        <v>78</v>
      </c>
      <c r="I61">
        <v>45.8</v>
      </c>
      <c r="J61">
        <v>71</v>
      </c>
      <c r="K61" t="s">
        <v>78</v>
      </c>
      <c r="L61">
        <v>45.05</v>
      </c>
      <c r="M61">
        <v>131</v>
      </c>
      <c r="N61" t="s">
        <v>78</v>
      </c>
      <c r="O61">
        <v>67.37</v>
      </c>
      <c r="P61">
        <v>98</v>
      </c>
      <c r="Q61" t="s">
        <v>78</v>
      </c>
      <c r="R61">
        <v>46.6</v>
      </c>
      <c r="S61">
        <v>102</v>
      </c>
      <c r="U61">
        <f t="shared" si="0"/>
        <v>45.05</v>
      </c>
      <c r="V61">
        <f t="shared" si="1"/>
        <v>67.37</v>
      </c>
      <c r="W61">
        <f t="shared" si="2"/>
        <v>51.303333333333342</v>
      </c>
      <c r="X61">
        <f t="shared" si="3"/>
        <v>56.21</v>
      </c>
      <c r="Y61">
        <f t="shared" si="4"/>
        <v>4.9066666666666592</v>
      </c>
      <c r="AA61">
        <f t="shared" si="5"/>
        <v>9.8133333333333184</v>
      </c>
      <c r="AB61">
        <f t="shared" si="6"/>
        <v>22.320000000000007</v>
      </c>
      <c r="AE61">
        <f t="shared" si="7"/>
        <v>0.43966547192353561</v>
      </c>
      <c r="AG61">
        <f t="shared" si="8"/>
        <v>0.43966547192353561</v>
      </c>
    </row>
    <row r="62" spans="1:33" x14ac:dyDescent="0.35">
      <c r="A62" s="1">
        <v>61</v>
      </c>
      <c r="B62" t="s">
        <v>79</v>
      </c>
      <c r="C62">
        <v>37.6</v>
      </c>
      <c r="D62">
        <v>115</v>
      </c>
      <c r="E62" t="s">
        <v>79</v>
      </c>
      <c r="F62">
        <v>36.4</v>
      </c>
      <c r="G62">
        <v>101</v>
      </c>
      <c r="H62" t="s">
        <v>79</v>
      </c>
      <c r="I62">
        <v>27.9</v>
      </c>
      <c r="J62">
        <v>140</v>
      </c>
      <c r="K62" t="s">
        <v>79</v>
      </c>
      <c r="L62">
        <v>42.42</v>
      </c>
      <c r="M62">
        <v>147</v>
      </c>
      <c r="N62" t="s">
        <v>79</v>
      </c>
      <c r="O62">
        <v>52.09</v>
      </c>
      <c r="P62">
        <v>136</v>
      </c>
      <c r="Q62" t="s">
        <v>79</v>
      </c>
      <c r="R62">
        <v>29.3</v>
      </c>
      <c r="S62">
        <v>155</v>
      </c>
      <c r="U62">
        <f t="shared" si="0"/>
        <v>27.9</v>
      </c>
      <c r="V62">
        <f t="shared" si="1"/>
        <v>52.09</v>
      </c>
      <c r="W62">
        <f t="shared" si="2"/>
        <v>37.618333333333332</v>
      </c>
      <c r="X62">
        <f t="shared" si="3"/>
        <v>39.995000000000005</v>
      </c>
      <c r="Y62">
        <f t="shared" si="4"/>
        <v>2.3766666666666723</v>
      </c>
      <c r="AA62">
        <f t="shared" si="5"/>
        <v>4.7533333333333445</v>
      </c>
      <c r="AB62">
        <f t="shared" si="6"/>
        <v>24.190000000000005</v>
      </c>
      <c r="AE62">
        <f t="shared" si="7"/>
        <v>0.19649993110100636</v>
      </c>
      <c r="AG62">
        <f t="shared" si="8"/>
        <v>0.19649993110100636</v>
      </c>
    </row>
    <row r="63" spans="1:33" x14ac:dyDescent="0.35">
      <c r="A63" s="1">
        <v>62</v>
      </c>
      <c r="B63" t="s">
        <v>80</v>
      </c>
      <c r="C63">
        <v>47.3</v>
      </c>
      <c r="D63">
        <v>66</v>
      </c>
      <c r="E63" t="s">
        <v>80</v>
      </c>
      <c r="F63">
        <v>39.1</v>
      </c>
      <c r="G63">
        <v>86</v>
      </c>
      <c r="H63" t="s">
        <v>80</v>
      </c>
      <c r="I63">
        <v>41.3</v>
      </c>
      <c r="J63">
        <v>89</v>
      </c>
      <c r="K63" t="s">
        <v>80</v>
      </c>
      <c r="L63">
        <v>55.69</v>
      </c>
      <c r="M63">
        <v>90</v>
      </c>
      <c r="N63" t="s">
        <v>80</v>
      </c>
      <c r="O63">
        <v>64.959999999999994</v>
      </c>
      <c r="P63">
        <v>108</v>
      </c>
      <c r="Q63" t="s">
        <v>80</v>
      </c>
      <c r="R63">
        <v>47.23</v>
      </c>
      <c r="S63">
        <v>99</v>
      </c>
      <c r="U63">
        <f t="shared" si="0"/>
        <v>39.1</v>
      </c>
      <c r="V63">
        <f t="shared" si="1"/>
        <v>64.959999999999994</v>
      </c>
      <c r="W63">
        <f t="shared" si="2"/>
        <v>49.263333333333328</v>
      </c>
      <c r="X63">
        <f t="shared" si="3"/>
        <v>52.03</v>
      </c>
      <c r="Y63">
        <f t="shared" si="4"/>
        <v>2.7666666666666728</v>
      </c>
      <c r="AA63">
        <f t="shared" si="5"/>
        <v>5.5333333333333456</v>
      </c>
      <c r="AB63">
        <f t="shared" si="6"/>
        <v>25.859999999999992</v>
      </c>
      <c r="AE63">
        <f t="shared" si="7"/>
        <v>0.21397267336942566</v>
      </c>
      <c r="AG63">
        <f t="shared" si="8"/>
        <v>0.21397267336942566</v>
      </c>
    </row>
    <row r="64" spans="1:33" x14ac:dyDescent="0.35">
      <c r="A64" s="1">
        <v>63</v>
      </c>
      <c r="B64" t="s">
        <v>81</v>
      </c>
      <c r="C64">
        <v>74.5</v>
      </c>
      <c r="D64">
        <v>3</v>
      </c>
      <c r="E64" t="s">
        <v>81</v>
      </c>
      <c r="F64">
        <v>62.4</v>
      </c>
      <c r="G64">
        <v>13</v>
      </c>
      <c r="H64" t="s">
        <v>81</v>
      </c>
      <c r="I64">
        <v>77.2</v>
      </c>
      <c r="J64">
        <v>10</v>
      </c>
      <c r="K64" t="s">
        <v>81</v>
      </c>
      <c r="L64">
        <v>78.37</v>
      </c>
      <c r="M64">
        <v>13</v>
      </c>
      <c r="N64" t="s">
        <v>81</v>
      </c>
      <c r="O64">
        <v>84.26</v>
      </c>
      <c r="P64">
        <v>30</v>
      </c>
      <c r="Q64" t="s">
        <v>81</v>
      </c>
      <c r="R64">
        <v>80.47</v>
      </c>
      <c r="S64">
        <v>6</v>
      </c>
      <c r="U64">
        <f t="shared" si="0"/>
        <v>62.4</v>
      </c>
      <c r="V64">
        <f t="shared" si="1"/>
        <v>84.26</v>
      </c>
      <c r="W64">
        <f t="shared" si="2"/>
        <v>76.2</v>
      </c>
      <c r="X64">
        <f t="shared" si="3"/>
        <v>73.33</v>
      </c>
      <c r="Y64">
        <f t="shared" si="4"/>
        <v>-2.8700000000000045</v>
      </c>
      <c r="AA64">
        <f t="shared" si="5"/>
        <v>-5.7400000000000091</v>
      </c>
      <c r="AB64">
        <f t="shared" si="6"/>
        <v>21.860000000000007</v>
      </c>
      <c r="AE64">
        <f t="shared" si="7"/>
        <v>-0.26258005489478531</v>
      </c>
      <c r="AG64">
        <f t="shared" si="8"/>
        <v>0.26258005489478531</v>
      </c>
    </row>
    <row r="65" spans="1:33" x14ac:dyDescent="0.35">
      <c r="A65" s="1">
        <v>64</v>
      </c>
      <c r="B65" t="s">
        <v>82</v>
      </c>
      <c r="C65">
        <v>36.9</v>
      </c>
      <c r="D65">
        <v>117</v>
      </c>
      <c r="E65" t="s">
        <v>82</v>
      </c>
      <c r="F65">
        <v>27.7</v>
      </c>
      <c r="G65">
        <v>135</v>
      </c>
      <c r="H65" t="s">
        <v>82</v>
      </c>
      <c r="I65">
        <v>27.6</v>
      </c>
      <c r="J65">
        <v>142</v>
      </c>
      <c r="K65" t="s">
        <v>82</v>
      </c>
      <c r="L65">
        <v>49.66</v>
      </c>
      <c r="M65">
        <v>115</v>
      </c>
      <c r="N65" t="s">
        <v>82</v>
      </c>
      <c r="O65">
        <v>58.89</v>
      </c>
      <c r="P65">
        <v>125</v>
      </c>
      <c r="Q65" t="s">
        <v>82</v>
      </c>
      <c r="R65">
        <v>32.07</v>
      </c>
      <c r="S65">
        <v>148</v>
      </c>
      <c r="U65">
        <f t="shared" si="0"/>
        <v>27.6</v>
      </c>
      <c r="V65">
        <f t="shared" si="1"/>
        <v>58.89</v>
      </c>
      <c r="W65">
        <f t="shared" si="2"/>
        <v>38.803333333333335</v>
      </c>
      <c r="X65">
        <f t="shared" si="3"/>
        <v>43.245000000000005</v>
      </c>
      <c r="Y65">
        <f t="shared" si="4"/>
        <v>4.44166666666667</v>
      </c>
      <c r="AA65">
        <f t="shared" si="5"/>
        <v>8.88333333333334</v>
      </c>
      <c r="AB65">
        <f t="shared" si="6"/>
        <v>31.29</v>
      </c>
      <c r="AE65">
        <f t="shared" si="7"/>
        <v>0.28390327048045189</v>
      </c>
      <c r="AG65">
        <f t="shared" si="8"/>
        <v>0.28390327048045189</v>
      </c>
    </row>
    <row r="66" spans="1:33" x14ac:dyDescent="0.35">
      <c r="A66" s="1">
        <v>65</v>
      </c>
      <c r="B66" t="s">
        <v>83</v>
      </c>
      <c r="C66">
        <v>67.3</v>
      </c>
      <c r="D66">
        <v>11</v>
      </c>
      <c r="E66" t="s">
        <v>83</v>
      </c>
      <c r="F66">
        <v>56.2</v>
      </c>
      <c r="G66">
        <v>28</v>
      </c>
      <c r="H66" t="s">
        <v>83</v>
      </c>
      <c r="I66">
        <v>69.099999999999994</v>
      </c>
      <c r="J66">
        <v>23</v>
      </c>
      <c r="K66" t="s">
        <v>83</v>
      </c>
      <c r="L66">
        <v>73.599999999999994</v>
      </c>
      <c r="M66">
        <v>22</v>
      </c>
      <c r="N66" t="s">
        <v>83</v>
      </c>
      <c r="O66">
        <v>85.81</v>
      </c>
      <c r="P66">
        <v>21</v>
      </c>
      <c r="Q66" t="s">
        <v>83</v>
      </c>
      <c r="R66">
        <v>73.28</v>
      </c>
      <c r="S66">
        <v>23</v>
      </c>
      <c r="U66">
        <f t="shared" si="0"/>
        <v>56.2</v>
      </c>
      <c r="V66">
        <f t="shared" si="1"/>
        <v>85.81</v>
      </c>
      <c r="W66">
        <f t="shared" si="2"/>
        <v>70.881666666666661</v>
      </c>
      <c r="X66">
        <f t="shared" si="3"/>
        <v>71.004999999999995</v>
      </c>
      <c r="Y66">
        <f t="shared" si="4"/>
        <v>0.12333333333333485</v>
      </c>
      <c r="AA66">
        <f t="shared" si="5"/>
        <v>0.2466666666666697</v>
      </c>
      <c r="AB66">
        <f t="shared" si="6"/>
        <v>29.61</v>
      </c>
      <c r="AE66">
        <f t="shared" si="7"/>
        <v>8.3305189688169436E-3</v>
      </c>
      <c r="AG66">
        <f t="shared" si="8"/>
        <v>8.3305189688169436E-3</v>
      </c>
    </row>
    <row r="67" spans="1:33" x14ac:dyDescent="0.35">
      <c r="A67" s="1">
        <v>66</v>
      </c>
      <c r="B67" t="s">
        <v>84</v>
      </c>
      <c r="C67">
        <v>45.8</v>
      </c>
      <c r="D67">
        <v>73</v>
      </c>
      <c r="E67" t="s">
        <v>84</v>
      </c>
      <c r="F67">
        <v>47.9</v>
      </c>
      <c r="G67">
        <v>51</v>
      </c>
      <c r="H67" t="s">
        <v>84</v>
      </c>
      <c r="I67">
        <v>43.1</v>
      </c>
      <c r="J67">
        <v>85</v>
      </c>
      <c r="K67" t="s">
        <v>84</v>
      </c>
      <c r="L67">
        <v>50.93</v>
      </c>
      <c r="M67">
        <v>111</v>
      </c>
      <c r="N67" t="s">
        <v>84</v>
      </c>
      <c r="O67">
        <v>63.28</v>
      </c>
      <c r="P67">
        <v>116</v>
      </c>
      <c r="Q67" t="s">
        <v>84</v>
      </c>
      <c r="R67">
        <v>35.24</v>
      </c>
      <c r="S67">
        <v>144</v>
      </c>
      <c r="U67">
        <f t="shared" ref="U67:U130" si="9">MIN(C67,F67,I67,L67,O67,R67)</f>
        <v>35.24</v>
      </c>
      <c r="V67">
        <f t="shared" ref="V67:V130" si="10">MAX(C67,F67,I67,L67,O67,R67)</f>
        <v>63.28</v>
      </c>
      <c r="W67">
        <f t="shared" ref="W67:W130" si="11">AVERAGE(C67,F67,I67,L67,O67,R67)</f>
        <v>47.708333333333336</v>
      </c>
      <c r="X67">
        <f t="shared" ref="X67:X130" si="12">AVERAGE(U67:V67)</f>
        <v>49.260000000000005</v>
      </c>
      <c r="Y67">
        <f t="shared" ref="Y67:Y130" si="13">X67-W67</f>
        <v>1.5516666666666694</v>
      </c>
      <c r="AA67">
        <f t="shared" ref="AA67:AA130" si="14">U67+V67-2*W67</f>
        <v>3.1033333333333388</v>
      </c>
      <c r="AB67">
        <f t="shared" ref="AB67:AB130" si="15">V67-U67</f>
        <v>28.04</v>
      </c>
      <c r="AE67">
        <f t="shared" ref="AE67:AE130" si="16">AA67/AB67</f>
        <v>0.11067522586780809</v>
      </c>
      <c r="AG67">
        <f t="shared" ref="AG67:AG130" si="17">IF(AE67&lt;0,-AE67,AE67)</f>
        <v>0.11067522586780809</v>
      </c>
    </row>
    <row r="68" spans="1:33" x14ac:dyDescent="0.35">
      <c r="A68" s="1">
        <v>67</v>
      </c>
      <c r="B68" t="s">
        <v>85</v>
      </c>
      <c r="C68">
        <v>32.5</v>
      </c>
      <c r="D68">
        <v>134</v>
      </c>
      <c r="E68" t="s">
        <v>85</v>
      </c>
      <c r="F68">
        <v>28</v>
      </c>
      <c r="G68">
        <v>133</v>
      </c>
      <c r="H68" t="s">
        <v>85</v>
      </c>
      <c r="I68">
        <v>31.8</v>
      </c>
      <c r="J68">
        <v>125</v>
      </c>
      <c r="K68" t="s">
        <v>85</v>
      </c>
      <c r="L68">
        <v>52.33</v>
      </c>
      <c r="M68">
        <v>104</v>
      </c>
      <c r="N68" t="s">
        <v>85</v>
      </c>
      <c r="O68">
        <v>69.64</v>
      </c>
      <c r="P68">
        <v>87</v>
      </c>
      <c r="Q68" t="s">
        <v>85</v>
      </c>
      <c r="R68">
        <v>48.06</v>
      </c>
      <c r="S68">
        <v>96</v>
      </c>
      <c r="U68">
        <f t="shared" si="9"/>
        <v>28</v>
      </c>
      <c r="V68">
        <f t="shared" si="10"/>
        <v>69.64</v>
      </c>
      <c r="W68">
        <f t="shared" si="11"/>
        <v>43.721666666666664</v>
      </c>
      <c r="X68">
        <f t="shared" si="12"/>
        <v>48.82</v>
      </c>
      <c r="Y68">
        <f t="shared" si="13"/>
        <v>5.0983333333333363</v>
      </c>
      <c r="AA68">
        <f t="shared" si="14"/>
        <v>10.196666666666673</v>
      </c>
      <c r="AB68">
        <f t="shared" si="15"/>
        <v>41.64</v>
      </c>
      <c r="AE68">
        <f t="shared" si="16"/>
        <v>0.2448767211015051</v>
      </c>
      <c r="AG68">
        <f t="shared" si="17"/>
        <v>0.2448767211015051</v>
      </c>
    </row>
    <row r="69" spans="1:33" x14ac:dyDescent="0.35">
      <c r="A69" s="1">
        <v>68</v>
      </c>
      <c r="B69" t="s">
        <v>86</v>
      </c>
      <c r="C69">
        <v>36.5</v>
      </c>
      <c r="D69">
        <v>118</v>
      </c>
      <c r="E69" t="s">
        <v>86</v>
      </c>
      <c r="F69">
        <v>31.6</v>
      </c>
      <c r="G69">
        <v>119</v>
      </c>
      <c r="H69" t="s">
        <v>86</v>
      </c>
      <c r="I69">
        <v>26.4</v>
      </c>
      <c r="J69">
        <v>146</v>
      </c>
      <c r="K69" t="s">
        <v>86</v>
      </c>
      <c r="L69">
        <v>46.62</v>
      </c>
      <c r="M69">
        <v>125</v>
      </c>
      <c r="N69" t="s">
        <v>86</v>
      </c>
      <c r="O69">
        <v>55.4</v>
      </c>
      <c r="P69">
        <v>133</v>
      </c>
      <c r="Q69" t="s">
        <v>86</v>
      </c>
      <c r="R69">
        <v>28.03</v>
      </c>
      <c r="S69">
        <v>158</v>
      </c>
      <c r="U69">
        <f t="shared" si="9"/>
        <v>26.4</v>
      </c>
      <c r="V69">
        <f t="shared" si="10"/>
        <v>55.4</v>
      </c>
      <c r="W69">
        <f t="shared" si="11"/>
        <v>37.425000000000004</v>
      </c>
      <c r="X69">
        <f t="shared" si="12"/>
        <v>40.9</v>
      </c>
      <c r="Y69">
        <f t="shared" si="13"/>
        <v>3.4749999999999943</v>
      </c>
      <c r="AA69">
        <f t="shared" si="14"/>
        <v>6.9499999999999886</v>
      </c>
      <c r="AB69">
        <f t="shared" si="15"/>
        <v>29</v>
      </c>
      <c r="AE69">
        <f t="shared" si="16"/>
        <v>0.23965517241379272</v>
      </c>
      <c r="AG69">
        <f t="shared" si="17"/>
        <v>0.23965517241379272</v>
      </c>
    </row>
    <row r="70" spans="1:33" x14ac:dyDescent="0.35">
      <c r="A70" s="1">
        <v>69</v>
      </c>
      <c r="B70" t="s">
        <v>87</v>
      </c>
      <c r="C70">
        <v>42</v>
      </c>
      <c r="D70">
        <v>93</v>
      </c>
      <c r="E70" t="s">
        <v>87</v>
      </c>
      <c r="F70">
        <v>40.200000000000003</v>
      </c>
      <c r="G70">
        <v>82</v>
      </c>
      <c r="H70" t="s">
        <v>87</v>
      </c>
      <c r="I70">
        <v>29.1</v>
      </c>
      <c r="J70">
        <v>135</v>
      </c>
      <c r="K70" t="s">
        <v>87</v>
      </c>
      <c r="L70">
        <v>44.67</v>
      </c>
      <c r="M70">
        <v>134</v>
      </c>
      <c r="N70" t="s">
        <v>87</v>
      </c>
      <c r="O70">
        <v>48.2</v>
      </c>
      <c r="P70">
        <v>147</v>
      </c>
      <c r="Q70" t="s">
        <v>87</v>
      </c>
      <c r="R70">
        <v>35.979999999999997</v>
      </c>
      <c r="S70">
        <v>141</v>
      </c>
      <c r="U70">
        <f t="shared" si="9"/>
        <v>29.1</v>
      </c>
      <c r="V70">
        <f t="shared" si="10"/>
        <v>48.2</v>
      </c>
      <c r="W70">
        <f t="shared" si="11"/>
        <v>40.024999999999999</v>
      </c>
      <c r="X70">
        <f t="shared" si="12"/>
        <v>38.650000000000006</v>
      </c>
      <c r="Y70">
        <f t="shared" si="13"/>
        <v>-1.3749999999999929</v>
      </c>
      <c r="AA70">
        <f t="shared" si="14"/>
        <v>-2.7499999999999858</v>
      </c>
      <c r="AB70">
        <f t="shared" si="15"/>
        <v>19.100000000000001</v>
      </c>
      <c r="AE70">
        <f t="shared" si="16"/>
        <v>-0.14397905759162227</v>
      </c>
      <c r="AG70">
        <f t="shared" si="17"/>
        <v>0.14397905759162227</v>
      </c>
    </row>
    <row r="71" spans="1:33" x14ac:dyDescent="0.35">
      <c r="A71" s="1">
        <v>70</v>
      </c>
      <c r="B71" t="s">
        <v>88</v>
      </c>
      <c r="C71">
        <v>49</v>
      </c>
      <c r="D71">
        <v>58</v>
      </c>
      <c r="E71" t="s">
        <v>88</v>
      </c>
      <c r="F71">
        <v>38.5</v>
      </c>
      <c r="G71">
        <v>88</v>
      </c>
      <c r="H71" t="s">
        <v>88</v>
      </c>
      <c r="I71">
        <v>35.9</v>
      </c>
      <c r="J71">
        <v>109</v>
      </c>
      <c r="K71" t="s">
        <v>88</v>
      </c>
      <c r="L71">
        <v>47.93</v>
      </c>
      <c r="M71">
        <v>119</v>
      </c>
      <c r="N71" t="s">
        <v>88</v>
      </c>
      <c r="O71">
        <v>71.14</v>
      </c>
      <c r="P71">
        <v>75</v>
      </c>
      <c r="Q71" t="s">
        <v>88</v>
      </c>
      <c r="R71">
        <v>38.07</v>
      </c>
      <c r="S71">
        <v>134</v>
      </c>
      <c r="U71">
        <f t="shared" si="9"/>
        <v>35.9</v>
      </c>
      <c r="V71">
        <f t="shared" si="10"/>
        <v>71.14</v>
      </c>
      <c r="W71">
        <f t="shared" si="11"/>
        <v>46.756666666666668</v>
      </c>
      <c r="X71">
        <f t="shared" si="12"/>
        <v>53.519999999999996</v>
      </c>
      <c r="Y71">
        <f t="shared" si="13"/>
        <v>6.7633333333333283</v>
      </c>
      <c r="AA71">
        <f t="shared" si="14"/>
        <v>13.526666666666657</v>
      </c>
      <c r="AB71">
        <f t="shared" si="15"/>
        <v>35.24</v>
      </c>
      <c r="AE71">
        <f t="shared" si="16"/>
        <v>0.38384411653424111</v>
      </c>
      <c r="AG71">
        <f t="shared" si="17"/>
        <v>0.38384411653424111</v>
      </c>
    </row>
    <row r="72" spans="1:33" x14ac:dyDescent="0.35">
      <c r="A72" s="1">
        <v>71</v>
      </c>
      <c r="B72" t="s">
        <v>89</v>
      </c>
      <c r="C72">
        <v>36.4</v>
      </c>
      <c r="D72">
        <v>119</v>
      </c>
      <c r="E72" t="s">
        <v>89</v>
      </c>
      <c r="F72">
        <v>26.1</v>
      </c>
      <c r="G72">
        <v>138</v>
      </c>
      <c r="H72" t="s">
        <v>89</v>
      </c>
      <c r="I72">
        <v>27</v>
      </c>
      <c r="J72">
        <v>143</v>
      </c>
      <c r="K72" t="s">
        <v>89</v>
      </c>
      <c r="L72">
        <v>33.74</v>
      </c>
      <c r="M72">
        <v>165</v>
      </c>
      <c r="N72" t="s">
        <v>89</v>
      </c>
      <c r="O72">
        <v>43.28</v>
      </c>
      <c r="P72">
        <v>161</v>
      </c>
      <c r="Q72" t="s">
        <v>89</v>
      </c>
      <c r="R72">
        <v>19.010000000000002</v>
      </c>
      <c r="S72">
        <v>172</v>
      </c>
      <c r="U72">
        <f t="shared" si="9"/>
        <v>19.010000000000002</v>
      </c>
      <c r="V72">
        <f t="shared" si="10"/>
        <v>43.28</v>
      </c>
      <c r="W72">
        <f t="shared" si="11"/>
        <v>30.921666666666667</v>
      </c>
      <c r="X72">
        <f t="shared" si="12"/>
        <v>31.145000000000003</v>
      </c>
      <c r="Y72">
        <f t="shared" si="13"/>
        <v>0.22333333333333627</v>
      </c>
      <c r="AA72">
        <f t="shared" si="14"/>
        <v>0.44666666666667254</v>
      </c>
      <c r="AB72">
        <f t="shared" si="15"/>
        <v>24.27</v>
      </c>
      <c r="AE72">
        <f t="shared" si="16"/>
        <v>1.8404065375635457E-2</v>
      </c>
      <c r="AG72">
        <f t="shared" si="17"/>
        <v>1.8404065375635457E-2</v>
      </c>
    </row>
    <row r="73" spans="1:33" x14ac:dyDescent="0.35">
      <c r="A73" s="1">
        <v>72</v>
      </c>
      <c r="B73" t="s">
        <v>90</v>
      </c>
      <c r="C73">
        <v>40.200000000000003</v>
      </c>
      <c r="D73">
        <v>101</v>
      </c>
      <c r="E73" t="s">
        <v>90</v>
      </c>
      <c r="F73">
        <v>36.5</v>
      </c>
      <c r="G73">
        <v>100</v>
      </c>
      <c r="H73" t="s">
        <v>90</v>
      </c>
      <c r="I73">
        <v>37.799999999999997</v>
      </c>
      <c r="J73">
        <v>102</v>
      </c>
      <c r="K73" t="s">
        <v>90</v>
      </c>
      <c r="L73">
        <v>51.51</v>
      </c>
      <c r="M73">
        <v>107</v>
      </c>
      <c r="N73" t="s">
        <v>90</v>
      </c>
      <c r="O73">
        <v>69.64</v>
      </c>
      <c r="P73">
        <v>87</v>
      </c>
      <c r="Q73" t="s">
        <v>90</v>
      </c>
      <c r="R73">
        <v>48.87</v>
      </c>
      <c r="S73">
        <v>95</v>
      </c>
      <c r="U73">
        <f t="shared" si="9"/>
        <v>36.5</v>
      </c>
      <c r="V73">
        <f t="shared" si="10"/>
        <v>69.64</v>
      </c>
      <c r="W73">
        <f t="shared" si="11"/>
        <v>47.419999999999995</v>
      </c>
      <c r="X73">
        <f t="shared" si="12"/>
        <v>53.07</v>
      </c>
      <c r="Y73">
        <f t="shared" si="13"/>
        <v>5.6500000000000057</v>
      </c>
      <c r="AA73">
        <f t="shared" si="14"/>
        <v>11.300000000000011</v>
      </c>
      <c r="AB73">
        <f t="shared" si="15"/>
        <v>33.14</v>
      </c>
      <c r="AE73">
        <f t="shared" si="16"/>
        <v>0.34097767048883559</v>
      </c>
      <c r="AG73">
        <f t="shared" si="17"/>
        <v>0.34097767048883559</v>
      </c>
    </row>
    <row r="74" spans="1:33" x14ac:dyDescent="0.35">
      <c r="A74" s="1">
        <v>73</v>
      </c>
      <c r="B74" t="s">
        <v>91</v>
      </c>
      <c r="C74">
        <v>59.8</v>
      </c>
      <c r="D74">
        <v>30</v>
      </c>
      <c r="E74" t="s">
        <v>91</v>
      </c>
      <c r="F74">
        <v>55.1</v>
      </c>
      <c r="G74">
        <v>32</v>
      </c>
      <c r="H74" t="s">
        <v>91</v>
      </c>
      <c r="I74">
        <v>63.7</v>
      </c>
      <c r="J74">
        <v>31</v>
      </c>
      <c r="K74" t="s">
        <v>91</v>
      </c>
      <c r="L74">
        <v>65.010000000000005</v>
      </c>
      <c r="M74">
        <v>41</v>
      </c>
      <c r="N74" t="s">
        <v>91</v>
      </c>
      <c r="O74">
        <v>84.6</v>
      </c>
      <c r="P74">
        <v>28</v>
      </c>
      <c r="Q74" t="s">
        <v>91</v>
      </c>
      <c r="R74">
        <v>70.28</v>
      </c>
      <c r="S74">
        <v>28</v>
      </c>
      <c r="U74">
        <f t="shared" si="9"/>
        <v>55.1</v>
      </c>
      <c r="V74">
        <f t="shared" si="10"/>
        <v>84.6</v>
      </c>
      <c r="W74">
        <f t="shared" si="11"/>
        <v>66.415000000000006</v>
      </c>
      <c r="X74">
        <f t="shared" si="12"/>
        <v>69.849999999999994</v>
      </c>
      <c r="Y74">
        <f t="shared" si="13"/>
        <v>3.4349999999999881</v>
      </c>
      <c r="AA74">
        <f t="shared" si="14"/>
        <v>6.8699999999999761</v>
      </c>
      <c r="AB74">
        <f t="shared" si="15"/>
        <v>29.499999999999993</v>
      </c>
      <c r="AE74">
        <f t="shared" si="16"/>
        <v>0.23288135593220263</v>
      </c>
      <c r="AG74">
        <f t="shared" si="17"/>
        <v>0.23288135593220263</v>
      </c>
    </row>
    <row r="75" spans="1:33" x14ac:dyDescent="0.35">
      <c r="A75" s="1">
        <v>74</v>
      </c>
      <c r="B75" t="s">
        <v>92</v>
      </c>
      <c r="C75">
        <v>64.3</v>
      </c>
      <c r="D75">
        <v>18</v>
      </c>
      <c r="E75" t="s">
        <v>92</v>
      </c>
      <c r="F75">
        <v>62.8</v>
      </c>
      <c r="G75">
        <v>10</v>
      </c>
      <c r="H75" t="s">
        <v>92</v>
      </c>
      <c r="I75">
        <v>72.3</v>
      </c>
      <c r="J75">
        <v>17</v>
      </c>
      <c r="K75" t="s">
        <v>92</v>
      </c>
      <c r="L75">
        <v>78.569999999999993</v>
      </c>
      <c r="M75">
        <v>11</v>
      </c>
      <c r="N75" t="s">
        <v>92</v>
      </c>
      <c r="O75">
        <v>90.51</v>
      </c>
      <c r="P75">
        <v>2</v>
      </c>
      <c r="Q75" t="s">
        <v>92</v>
      </c>
      <c r="R75">
        <v>76.5</v>
      </c>
      <c r="S75">
        <v>14</v>
      </c>
      <c r="U75">
        <f t="shared" si="9"/>
        <v>62.8</v>
      </c>
      <c r="V75">
        <f t="shared" si="10"/>
        <v>90.51</v>
      </c>
      <c r="W75">
        <f t="shared" si="11"/>
        <v>74.163333333333327</v>
      </c>
      <c r="X75">
        <f t="shared" si="12"/>
        <v>76.655000000000001</v>
      </c>
      <c r="Y75">
        <f t="shared" si="13"/>
        <v>2.4916666666666742</v>
      </c>
      <c r="AA75">
        <f t="shared" si="14"/>
        <v>4.9833333333333485</v>
      </c>
      <c r="AB75">
        <f t="shared" si="15"/>
        <v>27.710000000000008</v>
      </c>
      <c r="AE75">
        <f t="shared" si="16"/>
        <v>0.17983880668832</v>
      </c>
      <c r="AG75">
        <f t="shared" si="17"/>
        <v>0.17983880668832</v>
      </c>
    </row>
    <row r="76" spans="1:33" x14ac:dyDescent="0.35">
      <c r="A76" s="1">
        <v>75</v>
      </c>
      <c r="B76" t="s">
        <v>93</v>
      </c>
      <c r="C76">
        <v>27.6</v>
      </c>
      <c r="D76">
        <v>143</v>
      </c>
      <c r="E76" t="s">
        <v>93</v>
      </c>
      <c r="F76">
        <v>18.899999999999999</v>
      </c>
      <c r="G76">
        <v>145</v>
      </c>
      <c r="H76" t="s">
        <v>93</v>
      </c>
      <c r="I76">
        <v>27.6</v>
      </c>
      <c r="J76">
        <v>142</v>
      </c>
      <c r="K76" t="s">
        <v>93</v>
      </c>
      <c r="L76">
        <v>30.57</v>
      </c>
      <c r="M76">
        <v>168</v>
      </c>
      <c r="N76" t="s">
        <v>93</v>
      </c>
      <c r="O76">
        <v>53.58</v>
      </c>
      <c r="P76">
        <v>135</v>
      </c>
      <c r="Q76" t="s">
        <v>93</v>
      </c>
      <c r="R76">
        <v>31.23</v>
      </c>
      <c r="S76">
        <v>152</v>
      </c>
      <c r="U76">
        <f t="shared" si="9"/>
        <v>18.899999999999999</v>
      </c>
      <c r="V76">
        <f t="shared" si="10"/>
        <v>53.58</v>
      </c>
      <c r="W76">
        <f t="shared" si="11"/>
        <v>31.58</v>
      </c>
      <c r="X76">
        <f t="shared" si="12"/>
        <v>36.239999999999995</v>
      </c>
      <c r="Y76">
        <f t="shared" si="13"/>
        <v>4.6599999999999966</v>
      </c>
      <c r="AA76">
        <f t="shared" si="14"/>
        <v>9.3199999999999932</v>
      </c>
      <c r="AB76">
        <f t="shared" si="15"/>
        <v>34.68</v>
      </c>
      <c r="AE76">
        <f t="shared" si="16"/>
        <v>0.26874279123414052</v>
      </c>
      <c r="AG76">
        <f t="shared" si="17"/>
        <v>0.26874279123414052</v>
      </c>
    </row>
    <row r="77" spans="1:33" x14ac:dyDescent="0.35">
      <c r="A77" s="1">
        <v>76</v>
      </c>
      <c r="B77" t="s">
        <v>94</v>
      </c>
      <c r="C77">
        <v>33.6</v>
      </c>
      <c r="D77">
        <v>131</v>
      </c>
      <c r="E77" t="s">
        <v>94</v>
      </c>
      <c r="F77">
        <v>28.2</v>
      </c>
      <c r="G77">
        <v>131</v>
      </c>
      <c r="H77" t="s">
        <v>94</v>
      </c>
      <c r="I77">
        <v>37.799999999999997</v>
      </c>
      <c r="J77">
        <v>102</v>
      </c>
      <c r="K77" t="s">
        <v>94</v>
      </c>
      <c r="L77">
        <v>46.92</v>
      </c>
      <c r="M77">
        <v>124</v>
      </c>
      <c r="N77" t="s">
        <v>94</v>
      </c>
      <c r="O77">
        <v>65.849999999999994</v>
      </c>
      <c r="P77">
        <v>104</v>
      </c>
      <c r="Q77" t="s">
        <v>94</v>
      </c>
      <c r="R77">
        <v>44.36</v>
      </c>
      <c r="S77">
        <v>110</v>
      </c>
      <c r="U77">
        <f t="shared" si="9"/>
        <v>28.2</v>
      </c>
      <c r="V77">
        <f t="shared" si="10"/>
        <v>65.849999999999994</v>
      </c>
      <c r="W77">
        <f t="shared" si="11"/>
        <v>42.788333333333327</v>
      </c>
      <c r="X77">
        <f t="shared" si="12"/>
        <v>47.024999999999999</v>
      </c>
      <c r="Y77">
        <f t="shared" si="13"/>
        <v>4.2366666666666717</v>
      </c>
      <c r="AA77">
        <f t="shared" si="14"/>
        <v>8.4733333333333434</v>
      </c>
      <c r="AB77">
        <f t="shared" si="15"/>
        <v>37.649999999999991</v>
      </c>
      <c r="AE77">
        <f t="shared" si="16"/>
        <v>0.22505533421868115</v>
      </c>
      <c r="AG77">
        <f t="shared" si="17"/>
        <v>0.22505533421868115</v>
      </c>
    </row>
    <row r="78" spans="1:33" x14ac:dyDescent="0.35">
      <c r="A78" s="1">
        <v>77</v>
      </c>
      <c r="B78" t="s">
        <v>95</v>
      </c>
      <c r="C78">
        <v>41.8</v>
      </c>
      <c r="D78">
        <v>94</v>
      </c>
      <c r="E78" t="s">
        <v>95</v>
      </c>
      <c r="F78">
        <v>34.5</v>
      </c>
      <c r="G78">
        <v>108</v>
      </c>
      <c r="H78" t="s">
        <v>95</v>
      </c>
      <c r="I78">
        <v>48</v>
      </c>
      <c r="J78">
        <v>63</v>
      </c>
      <c r="K78" t="s">
        <v>95</v>
      </c>
      <c r="L78">
        <v>58.16</v>
      </c>
      <c r="M78">
        <v>78</v>
      </c>
      <c r="N78" t="s">
        <v>95</v>
      </c>
      <c r="O78">
        <v>66.319999999999993</v>
      </c>
      <c r="P78">
        <v>102</v>
      </c>
      <c r="Q78" t="s">
        <v>95</v>
      </c>
      <c r="R78">
        <v>51.08</v>
      </c>
      <c r="S78">
        <v>81</v>
      </c>
      <c r="U78">
        <f t="shared" si="9"/>
        <v>34.5</v>
      </c>
      <c r="V78">
        <f t="shared" si="10"/>
        <v>66.319999999999993</v>
      </c>
      <c r="W78">
        <f t="shared" si="11"/>
        <v>49.976666666666659</v>
      </c>
      <c r="X78">
        <f t="shared" si="12"/>
        <v>50.41</v>
      </c>
      <c r="Y78">
        <f t="shared" si="13"/>
        <v>0.43333333333333712</v>
      </c>
      <c r="AA78">
        <f t="shared" si="14"/>
        <v>0.86666666666667425</v>
      </c>
      <c r="AB78">
        <f t="shared" si="15"/>
        <v>31.819999999999993</v>
      </c>
      <c r="AE78">
        <f t="shared" si="16"/>
        <v>2.7236538864446085E-2</v>
      </c>
      <c r="AG78">
        <f t="shared" si="17"/>
        <v>2.7236538864446085E-2</v>
      </c>
    </row>
    <row r="79" spans="1:33" x14ac:dyDescent="0.35">
      <c r="A79" s="1">
        <v>78</v>
      </c>
      <c r="B79" t="s">
        <v>96</v>
      </c>
      <c r="C79">
        <v>30.3</v>
      </c>
      <c r="D79">
        <v>139</v>
      </c>
      <c r="E79" t="s">
        <v>96</v>
      </c>
      <c r="F79">
        <v>27.8</v>
      </c>
      <c r="G79">
        <v>134</v>
      </c>
      <c r="H79" t="s">
        <v>96</v>
      </c>
      <c r="I79">
        <v>39.5</v>
      </c>
      <c r="J79">
        <v>93</v>
      </c>
      <c r="K79" t="s">
        <v>96</v>
      </c>
      <c r="L79">
        <v>43.2</v>
      </c>
      <c r="M79">
        <v>143</v>
      </c>
      <c r="N79" t="s">
        <v>96</v>
      </c>
      <c r="O79">
        <v>63.97</v>
      </c>
      <c r="P79">
        <v>113</v>
      </c>
      <c r="Q79" t="s">
        <v>96</v>
      </c>
      <c r="R79">
        <v>33.39</v>
      </c>
      <c r="S79">
        <v>146</v>
      </c>
      <c r="U79">
        <f t="shared" si="9"/>
        <v>27.8</v>
      </c>
      <c r="V79">
        <f t="shared" si="10"/>
        <v>63.97</v>
      </c>
      <c r="W79">
        <f t="shared" si="11"/>
        <v>39.693333333333335</v>
      </c>
      <c r="X79">
        <f t="shared" si="12"/>
        <v>45.884999999999998</v>
      </c>
      <c r="Y79">
        <f t="shared" si="13"/>
        <v>6.1916666666666629</v>
      </c>
      <c r="AA79">
        <f t="shared" si="14"/>
        <v>12.383333333333326</v>
      </c>
      <c r="AB79">
        <f t="shared" si="15"/>
        <v>36.17</v>
      </c>
      <c r="AE79">
        <f t="shared" si="16"/>
        <v>0.34236475900838609</v>
      </c>
      <c r="AG79">
        <f t="shared" si="17"/>
        <v>0.34236475900838609</v>
      </c>
    </row>
    <row r="80" spans="1:33" x14ac:dyDescent="0.35">
      <c r="A80" s="1">
        <v>79</v>
      </c>
      <c r="B80" t="s">
        <v>97</v>
      </c>
      <c r="C80">
        <v>65.8</v>
      </c>
      <c r="D80">
        <v>15</v>
      </c>
      <c r="E80" t="s">
        <v>97</v>
      </c>
      <c r="F80">
        <v>57.4</v>
      </c>
      <c r="G80">
        <v>24</v>
      </c>
      <c r="H80" t="s">
        <v>97</v>
      </c>
      <c r="I80">
        <v>72.8</v>
      </c>
      <c r="J80">
        <v>16</v>
      </c>
      <c r="K80" t="s">
        <v>97</v>
      </c>
      <c r="L80">
        <v>78.77</v>
      </c>
      <c r="M80">
        <v>9</v>
      </c>
      <c r="N80" t="s">
        <v>97</v>
      </c>
      <c r="O80">
        <v>86.6</v>
      </c>
      <c r="P80">
        <v>19</v>
      </c>
      <c r="Q80" t="s">
        <v>97</v>
      </c>
      <c r="R80">
        <v>74.67</v>
      </c>
      <c r="S80">
        <v>19</v>
      </c>
      <c r="U80">
        <f t="shared" si="9"/>
        <v>57.4</v>
      </c>
      <c r="V80">
        <f t="shared" si="10"/>
        <v>86.6</v>
      </c>
      <c r="W80">
        <f t="shared" si="11"/>
        <v>72.673333333333332</v>
      </c>
      <c r="X80">
        <f t="shared" si="12"/>
        <v>72</v>
      </c>
      <c r="Y80">
        <f t="shared" si="13"/>
        <v>-0.67333333333333201</v>
      </c>
      <c r="AA80">
        <f t="shared" si="14"/>
        <v>-1.346666666666664</v>
      </c>
      <c r="AB80">
        <f t="shared" si="15"/>
        <v>29.199999999999996</v>
      </c>
      <c r="AE80">
        <f t="shared" si="16"/>
        <v>-4.6118721461187132E-2</v>
      </c>
      <c r="AG80">
        <f t="shared" si="17"/>
        <v>4.6118721461187132E-2</v>
      </c>
    </row>
    <row r="81" spans="1:33" x14ac:dyDescent="0.35">
      <c r="A81" s="1">
        <v>80</v>
      </c>
      <c r="B81" t="s">
        <v>98</v>
      </c>
      <c r="C81">
        <v>48</v>
      </c>
      <c r="D81">
        <v>61</v>
      </c>
      <c r="E81" t="s">
        <v>98</v>
      </c>
      <c r="F81">
        <v>48.2</v>
      </c>
      <c r="G81">
        <v>50</v>
      </c>
      <c r="H81" t="s">
        <v>98</v>
      </c>
      <c r="I81">
        <v>65.8</v>
      </c>
      <c r="J81">
        <v>27</v>
      </c>
      <c r="K81" t="s">
        <v>98</v>
      </c>
      <c r="L81">
        <v>75.010000000000005</v>
      </c>
      <c r="M81">
        <v>19</v>
      </c>
      <c r="N81" t="s">
        <v>98</v>
      </c>
      <c r="O81">
        <v>78.14</v>
      </c>
      <c r="P81">
        <v>49</v>
      </c>
      <c r="Q81" t="s">
        <v>98</v>
      </c>
      <c r="R81">
        <v>65.78</v>
      </c>
      <c r="S81">
        <v>39</v>
      </c>
      <c r="U81">
        <f t="shared" si="9"/>
        <v>48</v>
      </c>
      <c r="V81">
        <f t="shared" si="10"/>
        <v>78.14</v>
      </c>
      <c r="W81">
        <f t="shared" si="11"/>
        <v>63.488333333333323</v>
      </c>
      <c r="X81">
        <f t="shared" si="12"/>
        <v>63.07</v>
      </c>
      <c r="Y81">
        <f t="shared" si="13"/>
        <v>-0.41833333333332234</v>
      </c>
      <c r="AA81">
        <f t="shared" si="14"/>
        <v>-0.83666666666664469</v>
      </c>
      <c r="AB81">
        <f t="shared" si="15"/>
        <v>30.14</v>
      </c>
      <c r="AE81">
        <f t="shared" si="16"/>
        <v>-2.7759345277592724E-2</v>
      </c>
      <c r="AG81">
        <f t="shared" si="17"/>
        <v>2.7759345277592724E-2</v>
      </c>
    </row>
    <row r="82" spans="1:33" x14ac:dyDescent="0.35">
      <c r="A82" s="1">
        <v>81</v>
      </c>
      <c r="B82" t="s">
        <v>99</v>
      </c>
      <c r="C82">
        <v>60.3</v>
      </c>
      <c r="D82">
        <v>28</v>
      </c>
      <c r="E82" t="s">
        <v>99</v>
      </c>
      <c r="F82">
        <v>57.7</v>
      </c>
      <c r="G82">
        <v>23</v>
      </c>
      <c r="H82" t="s">
        <v>99</v>
      </c>
      <c r="I82">
        <v>71</v>
      </c>
      <c r="J82">
        <v>20</v>
      </c>
      <c r="K82" t="s">
        <v>99</v>
      </c>
      <c r="L82">
        <v>76.959999999999994</v>
      </c>
      <c r="M82">
        <v>16</v>
      </c>
      <c r="N82" t="s">
        <v>99</v>
      </c>
      <c r="O82">
        <v>84.48</v>
      </c>
      <c r="P82">
        <v>29</v>
      </c>
      <c r="Q82" t="s">
        <v>99</v>
      </c>
      <c r="R82">
        <v>74.36</v>
      </c>
      <c r="S82">
        <v>22</v>
      </c>
      <c r="U82">
        <f t="shared" si="9"/>
        <v>57.7</v>
      </c>
      <c r="V82">
        <f t="shared" si="10"/>
        <v>84.48</v>
      </c>
      <c r="W82">
        <f t="shared" si="11"/>
        <v>70.8</v>
      </c>
      <c r="X82">
        <f t="shared" si="12"/>
        <v>71.09</v>
      </c>
      <c r="Y82">
        <f t="shared" si="13"/>
        <v>0.29000000000000625</v>
      </c>
      <c r="AA82">
        <f t="shared" si="14"/>
        <v>0.58000000000001251</v>
      </c>
      <c r="AB82">
        <f t="shared" si="15"/>
        <v>26.78</v>
      </c>
      <c r="AE82">
        <f t="shared" si="16"/>
        <v>2.1657953696789113E-2</v>
      </c>
      <c r="AG82">
        <f t="shared" si="17"/>
        <v>2.1657953696789113E-2</v>
      </c>
    </row>
    <row r="83" spans="1:33" x14ac:dyDescent="0.35">
      <c r="A83" s="1">
        <v>82</v>
      </c>
      <c r="B83" t="s">
        <v>100</v>
      </c>
      <c r="C83">
        <v>48.5</v>
      </c>
      <c r="D83">
        <v>59</v>
      </c>
      <c r="E83" t="s">
        <v>100</v>
      </c>
      <c r="F83">
        <v>45.6</v>
      </c>
      <c r="G83">
        <v>63</v>
      </c>
      <c r="H83" t="s">
        <v>100</v>
      </c>
      <c r="I83">
        <v>48.2</v>
      </c>
      <c r="J83">
        <v>62</v>
      </c>
      <c r="K83" t="s">
        <v>100</v>
      </c>
      <c r="L83">
        <v>58.58</v>
      </c>
      <c r="M83">
        <v>76</v>
      </c>
      <c r="N83" t="s">
        <v>100</v>
      </c>
      <c r="O83">
        <v>77.02</v>
      </c>
      <c r="P83">
        <v>54</v>
      </c>
      <c r="Q83" t="s">
        <v>100</v>
      </c>
      <c r="R83">
        <v>58.26</v>
      </c>
      <c r="S83">
        <v>55</v>
      </c>
      <c r="U83">
        <f t="shared" si="9"/>
        <v>45.6</v>
      </c>
      <c r="V83">
        <f t="shared" si="10"/>
        <v>77.02</v>
      </c>
      <c r="W83">
        <f t="shared" si="11"/>
        <v>56.026666666666664</v>
      </c>
      <c r="X83">
        <f t="shared" si="12"/>
        <v>61.31</v>
      </c>
      <c r="Y83">
        <f t="shared" si="13"/>
        <v>5.2833333333333385</v>
      </c>
      <c r="AA83">
        <f t="shared" si="14"/>
        <v>10.566666666666677</v>
      </c>
      <c r="AB83">
        <f t="shared" si="15"/>
        <v>31.419999999999995</v>
      </c>
      <c r="AE83">
        <f t="shared" si="16"/>
        <v>0.33630384044133288</v>
      </c>
      <c r="AG83">
        <f t="shared" si="17"/>
        <v>0.33630384044133288</v>
      </c>
    </row>
    <row r="84" spans="1:33" x14ac:dyDescent="0.35">
      <c r="A84" s="1">
        <v>83</v>
      </c>
      <c r="B84" t="s">
        <v>101</v>
      </c>
      <c r="C84">
        <v>61.4</v>
      </c>
      <c r="D84">
        <v>26</v>
      </c>
      <c r="E84" t="s">
        <v>101</v>
      </c>
      <c r="F84">
        <v>57.2</v>
      </c>
      <c r="G84">
        <v>25</v>
      </c>
      <c r="H84" t="s">
        <v>101</v>
      </c>
      <c r="I84">
        <v>75.099999999999994</v>
      </c>
      <c r="J84">
        <v>12</v>
      </c>
      <c r="K84" t="s">
        <v>101</v>
      </c>
      <c r="L84">
        <v>74.69</v>
      </c>
      <c r="M84">
        <v>20</v>
      </c>
      <c r="N84" t="s">
        <v>101</v>
      </c>
      <c r="O84">
        <v>80.59</v>
      </c>
      <c r="P84">
        <v>39</v>
      </c>
      <c r="Q84" t="s">
        <v>101</v>
      </c>
      <c r="R84">
        <v>72.349999999999994</v>
      </c>
      <c r="S84">
        <v>26</v>
      </c>
      <c r="U84">
        <f t="shared" si="9"/>
        <v>57.2</v>
      </c>
      <c r="V84">
        <f t="shared" si="10"/>
        <v>80.59</v>
      </c>
      <c r="W84">
        <f t="shared" si="11"/>
        <v>70.221666666666678</v>
      </c>
      <c r="X84">
        <f t="shared" si="12"/>
        <v>68.89500000000001</v>
      </c>
      <c r="Y84">
        <f t="shared" si="13"/>
        <v>-1.326666666666668</v>
      </c>
      <c r="AA84">
        <f t="shared" si="14"/>
        <v>-2.653333333333336</v>
      </c>
      <c r="AB84">
        <f t="shared" si="15"/>
        <v>23.39</v>
      </c>
      <c r="AE84">
        <f t="shared" si="16"/>
        <v>-0.11343879150634185</v>
      </c>
      <c r="AG84">
        <f t="shared" si="17"/>
        <v>0.11343879150634185</v>
      </c>
    </row>
    <row r="85" spans="1:33" x14ac:dyDescent="0.35">
      <c r="A85" s="1">
        <v>84</v>
      </c>
      <c r="B85" t="s">
        <v>102</v>
      </c>
      <c r="C85">
        <v>47.3</v>
      </c>
      <c r="D85">
        <v>66</v>
      </c>
      <c r="E85" t="s">
        <v>102</v>
      </c>
      <c r="F85">
        <v>43.6</v>
      </c>
      <c r="G85">
        <v>70</v>
      </c>
      <c r="H85" t="s">
        <v>102</v>
      </c>
      <c r="I85">
        <v>53.4</v>
      </c>
      <c r="J85">
        <v>46</v>
      </c>
      <c r="K85" t="s">
        <v>102</v>
      </c>
      <c r="L85">
        <v>62.2</v>
      </c>
      <c r="M85">
        <v>60</v>
      </c>
      <c r="N85" t="s">
        <v>102</v>
      </c>
      <c r="O85">
        <v>72.239999999999995</v>
      </c>
      <c r="P85">
        <v>74</v>
      </c>
      <c r="Q85" t="s">
        <v>102</v>
      </c>
      <c r="R85">
        <v>55.78</v>
      </c>
      <c r="S85">
        <v>60</v>
      </c>
      <c r="U85">
        <f t="shared" si="9"/>
        <v>43.6</v>
      </c>
      <c r="V85">
        <f t="shared" si="10"/>
        <v>72.239999999999995</v>
      </c>
      <c r="W85">
        <f t="shared" si="11"/>
        <v>55.75333333333333</v>
      </c>
      <c r="X85">
        <f t="shared" si="12"/>
        <v>57.92</v>
      </c>
      <c r="Y85">
        <f t="shared" si="13"/>
        <v>2.1666666666666714</v>
      </c>
      <c r="AA85">
        <f t="shared" si="14"/>
        <v>4.3333333333333428</v>
      </c>
      <c r="AB85">
        <f t="shared" si="15"/>
        <v>28.639999999999993</v>
      </c>
      <c r="AE85">
        <f t="shared" si="16"/>
        <v>0.15130353817504691</v>
      </c>
      <c r="AG85">
        <f t="shared" si="17"/>
        <v>0.15130353817504691</v>
      </c>
    </row>
    <row r="86" spans="1:33" x14ac:dyDescent="0.35">
      <c r="A86" s="1">
        <v>85</v>
      </c>
      <c r="B86" t="s">
        <v>103</v>
      </c>
      <c r="C86">
        <v>47.8</v>
      </c>
      <c r="D86">
        <v>63</v>
      </c>
      <c r="E86" t="s">
        <v>103</v>
      </c>
      <c r="F86">
        <v>40.9</v>
      </c>
      <c r="G86">
        <v>78</v>
      </c>
      <c r="H86" t="s">
        <v>103</v>
      </c>
      <c r="I86">
        <v>44.7</v>
      </c>
      <c r="J86">
        <v>77</v>
      </c>
      <c r="K86" t="s">
        <v>103</v>
      </c>
      <c r="L86">
        <v>54.56</v>
      </c>
      <c r="M86">
        <v>97</v>
      </c>
      <c r="N86" t="s">
        <v>103</v>
      </c>
      <c r="O86">
        <v>73.290000000000006</v>
      </c>
      <c r="P86">
        <v>69</v>
      </c>
      <c r="Q86" t="s">
        <v>103</v>
      </c>
      <c r="R86">
        <v>51.07</v>
      </c>
      <c r="S86">
        <v>82</v>
      </c>
      <c r="U86">
        <f t="shared" si="9"/>
        <v>40.9</v>
      </c>
      <c r="V86">
        <f t="shared" si="10"/>
        <v>73.290000000000006</v>
      </c>
      <c r="W86">
        <f t="shared" si="11"/>
        <v>52.053333333333335</v>
      </c>
      <c r="X86">
        <f t="shared" si="12"/>
        <v>57.094999999999999</v>
      </c>
      <c r="Y86">
        <f t="shared" si="13"/>
        <v>5.0416666666666643</v>
      </c>
      <c r="AA86">
        <f t="shared" si="14"/>
        <v>10.083333333333329</v>
      </c>
      <c r="AB86">
        <f t="shared" si="15"/>
        <v>32.390000000000008</v>
      </c>
      <c r="AE86">
        <f t="shared" si="16"/>
        <v>0.31131007512606751</v>
      </c>
      <c r="AG86">
        <f t="shared" si="17"/>
        <v>0.31131007512606751</v>
      </c>
    </row>
    <row r="87" spans="1:33" x14ac:dyDescent="0.35">
      <c r="A87" s="1">
        <v>86</v>
      </c>
      <c r="B87" t="s">
        <v>104</v>
      </c>
      <c r="C87">
        <v>36.9</v>
      </c>
      <c r="D87">
        <v>117</v>
      </c>
      <c r="E87" t="s">
        <v>104</v>
      </c>
      <c r="F87">
        <v>30.8</v>
      </c>
      <c r="G87">
        <v>121</v>
      </c>
      <c r="H87" t="s">
        <v>104</v>
      </c>
      <c r="I87">
        <v>34.700000000000003</v>
      </c>
      <c r="J87">
        <v>113</v>
      </c>
      <c r="K87" t="s">
        <v>104</v>
      </c>
      <c r="L87">
        <v>47.25</v>
      </c>
      <c r="M87">
        <v>121</v>
      </c>
      <c r="N87" t="s">
        <v>104</v>
      </c>
      <c r="O87">
        <v>62.49</v>
      </c>
      <c r="P87">
        <v>118</v>
      </c>
      <c r="Q87" t="s">
        <v>104</v>
      </c>
      <c r="R87">
        <v>36.99</v>
      </c>
      <c r="S87">
        <v>137</v>
      </c>
      <c r="U87">
        <f t="shared" si="9"/>
        <v>30.8</v>
      </c>
      <c r="V87">
        <f t="shared" si="10"/>
        <v>62.49</v>
      </c>
      <c r="W87">
        <f t="shared" si="11"/>
        <v>41.521666666666668</v>
      </c>
      <c r="X87">
        <f t="shared" si="12"/>
        <v>46.645000000000003</v>
      </c>
      <c r="Y87">
        <f t="shared" si="13"/>
        <v>5.1233333333333348</v>
      </c>
      <c r="AA87">
        <f t="shared" si="14"/>
        <v>10.24666666666667</v>
      </c>
      <c r="AB87">
        <f t="shared" si="15"/>
        <v>31.69</v>
      </c>
      <c r="AE87">
        <f t="shared" si="16"/>
        <v>0.32334069632902079</v>
      </c>
      <c r="AG87">
        <f t="shared" si="17"/>
        <v>0.32334069632902079</v>
      </c>
    </row>
    <row r="88" spans="1:33" x14ac:dyDescent="0.35">
      <c r="A88" s="1">
        <v>87</v>
      </c>
      <c r="B88" t="s">
        <v>105</v>
      </c>
      <c r="C88">
        <v>44.3</v>
      </c>
      <c r="D88">
        <v>79</v>
      </c>
      <c r="E88" t="s">
        <v>105</v>
      </c>
      <c r="F88">
        <v>49</v>
      </c>
      <c r="G88">
        <v>47</v>
      </c>
      <c r="H88" t="s">
        <v>105</v>
      </c>
      <c r="I88">
        <v>37.700000000000003</v>
      </c>
      <c r="J88">
        <v>103</v>
      </c>
      <c r="K88" t="s">
        <v>105</v>
      </c>
      <c r="L88">
        <v>55.26</v>
      </c>
      <c r="M88">
        <v>91</v>
      </c>
      <c r="N88" t="s">
        <v>105</v>
      </c>
      <c r="O88">
        <v>60.48</v>
      </c>
      <c r="P88">
        <v>120</v>
      </c>
      <c r="Q88" t="s">
        <v>105</v>
      </c>
      <c r="R88">
        <v>55.82</v>
      </c>
      <c r="S88">
        <v>59</v>
      </c>
      <c r="U88">
        <f t="shared" si="9"/>
        <v>37.700000000000003</v>
      </c>
      <c r="V88">
        <f t="shared" si="10"/>
        <v>60.48</v>
      </c>
      <c r="W88">
        <f t="shared" si="11"/>
        <v>50.426666666666669</v>
      </c>
      <c r="X88">
        <f t="shared" si="12"/>
        <v>49.09</v>
      </c>
      <c r="Y88">
        <f t="shared" si="13"/>
        <v>-1.336666666666666</v>
      </c>
      <c r="AA88">
        <f t="shared" si="14"/>
        <v>-2.673333333333332</v>
      </c>
      <c r="AB88">
        <f t="shared" si="15"/>
        <v>22.779999999999994</v>
      </c>
      <c r="AE88">
        <f t="shared" si="16"/>
        <v>-0.11735440444834648</v>
      </c>
      <c r="AG88">
        <f t="shared" si="17"/>
        <v>0.11735440444834648</v>
      </c>
    </row>
    <row r="89" spans="1:33" x14ac:dyDescent="0.35">
      <c r="A89" s="1">
        <v>88</v>
      </c>
      <c r="B89" t="s">
        <v>106</v>
      </c>
      <c r="C89">
        <v>44.4</v>
      </c>
      <c r="D89">
        <v>78</v>
      </c>
      <c r="E89" t="s">
        <v>106</v>
      </c>
      <c r="F89">
        <v>42.4</v>
      </c>
      <c r="G89">
        <v>73</v>
      </c>
      <c r="H89" t="s">
        <v>106</v>
      </c>
      <c r="I89">
        <v>53.6</v>
      </c>
      <c r="J89">
        <v>45</v>
      </c>
      <c r="K89" t="s">
        <v>106</v>
      </c>
      <c r="L89">
        <v>62.28</v>
      </c>
      <c r="M89">
        <v>59</v>
      </c>
      <c r="N89" t="s">
        <v>106</v>
      </c>
      <c r="O89">
        <v>64.41</v>
      </c>
      <c r="P89">
        <v>110</v>
      </c>
      <c r="Q89" t="s">
        <v>106</v>
      </c>
      <c r="R89">
        <v>63.94</v>
      </c>
      <c r="S89">
        <v>42</v>
      </c>
      <c r="U89">
        <f t="shared" si="9"/>
        <v>42.4</v>
      </c>
      <c r="V89">
        <f t="shared" si="10"/>
        <v>64.41</v>
      </c>
      <c r="W89">
        <f t="shared" si="11"/>
        <v>55.171666666666674</v>
      </c>
      <c r="X89">
        <f t="shared" si="12"/>
        <v>53.405000000000001</v>
      </c>
      <c r="Y89">
        <f t="shared" si="13"/>
        <v>-1.7666666666666728</v>
      </c>
      <c r="AA89">
        <f t="shared" si="14"/>
        <v>-3.5333333333333456</v>
      </c>
      <c r="AB89">
        <f t="shared" si="15"/>
        <v>22.009999999999998</v>
      </c>
      <c r="AE89">
        <f t="shared" si="16"/>
        <v>-0.16053309101923424</v>
      </c>
      <c r="AG89">
        <f t="shared" si="17"/>
        <v>0.16053309101923424</v>
      </c>
    </row>
    <row r="90" spans="1:33" x14ac:dyDescent="0.35">
      <c r="A90" s="1">
        <v>89</v>
      </c>
      <c r="B90" t="s">
        <v>107</v>
      </c>
      <c r="C90">
        <v>42.8</v>
      </c>
      <c r="D90">
        <v>88</v>
      </c>
      <c r="E90" t="s">
        <v>107</v>
      </c>
      <c r="F90">
        <v>35.700000000000003</v>
      </c>
      <c r="G90">
        <v>103</v>
      </c>
      <c r="H90" t="s">
        <v>107</v>
      </c>
      <c r="I90">
        <v>39.799999999999997</v>
      </c>
      <c r="J90">
        <v>92</v>
      </c>
      <c r="K90" t="s">
        <v>107</v>
      </c>
      <c r="L90">
        <v>54.86</v>
      </c>
      <c r="M90">
        <v>95</v>
      </c>
      <c r="N90" t="s">
        <v>107</v>
      </c>
      <c r="O90">
        <v>73.13</v>
      </c>
      <c r="P90">
        <v>71</v>
      </c>
      <c r="Q90" t="s">
        <v>107</v>
      </c>
      <c r="R90">
        <v>40.630000000000003</v>
      </c>
      <c r="S90">
        <v>122</v>
      </c>
      <c r="U90">
        <f t="shared" si="9"/>
        <v>35.700000000000003</v>
      </c>
      <c r="V90">
        <f t="shared" si="10"/>
        <v>73.13</v>
      </c>
      <c r="W90">
        <f t="shared" si="11"/>
        <v>47.82</v>
      </c>
      <c r="X90">
        <f t="shared" si="12"/>
        <v>54.414999999999999</v>
      </c>
      <c r="Y90">
        <f t="shared" si="13"/>
        <v>6.5949999999999989</v>
      </c>
      <c r="AA90">
        <f t="shared" si="14"/>
        <v>13.189999999999998</v>
      </c>
      <c r="AB90">
        <f t="shared" si="15"/>
        <v>37.429999999999993</v>
      </c>
      <c r="AE90">
        <f t="shared" si="16"/>
        <v>0.35239113010953782</v>
      </c>
      <c r="AG90">
        <f t="shared" si="17"/>
        <v>0.35239113010953782</v>
      </c>
    </row>
    <row r="91" spans="1:33" x14ac:dyDescent="0.35">
      <c r="A91" s="1">
        <v>90</v>
      </c>
      <c r="B91" t="s">
        <v>108</v>
      </c>
      <c r="C91">
        <v>26.3</v>
      </c>
      <c r="D91">
        <v>145</v>
      </c>
      <c r="E91" t="s">
        <v>108</v>
      </c>
      <c r="F91">
        <v>30.7</v>
      </c>
      <c r="G91">
        <v>122</v>
      </c>
      <c r="H91" t="s">
        <v>108</v>
      </c>
      <c r="I91">
        <v>34.799999999999997</v>
      </c>
      <c r="J91">
        <v>112</v>
      </c>
      <c r="K91" t="s">
        <v>108</v>
      </c>
      <c r="L91">
        <v>42.94</v>
      </c>
      <c r="M91">
        <v>144</v>
      </c>
      <c r="N91" t="s">
        <v>108</v>
      </c>
      <c r="O91">
        <v>50.29</v>
      </c>
      <c r="P91">
        <v>142</v>
      </c>
      <c r="Q91" t="s">
        <v>108</v>
      </c>
      <c r="R91">
        <v>40.369999999999997</v>
      </c>
      <c r="S91">
        <v>124</v>
      </c>
      <c r="U91">
        <f t="shared" si="9"/>
        <v>26.3</v>
      </c>
      <c r="V91">
        <f t="shared" si="10"/>
        <v>50.29</v>
      </c>
      <c r="W91">
        <f t="shared" si="11"/>
        <v>37.56666666666667</v>
      </c>
      <c r="X91">
        <f t="shared" si="12"/>
        <v>38.295000000000002</v>
      </c>
      <c r="Y91">
        <f t="shared" si="13"/>
        <v>0.72833333333333172</v>
      </c>
      <c r="AA91">
        <f t="shared" si="14"/>
        <v>1.4566666666666634</v>
      </c>
      <c r="AB91">
        <f t="shared" si="15"/>
        <v>23.99</v>
      </c>
      <c r="AE91">
        <f t="shared" si="16"/>
        <v>6.0719744337918449E-2</v>
      </c>
      <c r="AG91">
        <f t="shared" si="17"/>
        <v>6.0719744337918449E-2</v>
      </c>
    </row>
    <row r="92" spans="1:33" x14ac:dyDescent="0.35">
      <c r="A92" s="1">
        <v>91</v>
      </c>
      <c r="B92" t="s">
        <v>109</v>
      </c>
      <c r="C92">
        <v>60.2</v>
      </c>
      <c r="D92">
        <v>29</v>
      </c>
      <c r="E92" t="s">
        <v>109</v>
      </c>
      <c r="F92">
        <v>61.1</v>
      </c>
      <c r="G92">
        <v>15</v>
      </c>
      <c r="H92" t="s">
        <v>109</v>
      </c>
      <c r="I92">
        <v>61.6</v>
      </c>
      <c r="J92">
        <v>34</v>
      </c>
      <c r="K92" t="s">
        <v>109</v>
      </c>
      <c r="L92">
        <v>66.12</v>
      </c>
      <c r="M92">
        <v>35</v>
      </c>
      <c r="N92" t="s">
        <v>109</v>
      </c>
      <c r="O92">
        <v>85.71</v>
      </c>
      <c r="P92">
        <v>22</v>
      </c>
      <c r="Q92" t="s">
        <v>109</v>
      </c>
      <c r="R92">
        <v>64.05</v>
      </c>
      <c r="S92">
        <v>40</v>
      </c>
      <c r="U92">
        <f t="shared" si="9"/>
        <v>60.2</v>
      </c>
      <c r="V92">
        <f t="shared" si="10"/>
        <v>85.71</v>
      </c>
      <c r="W92">
        <f t="shared" si="11"/>
        <v>66.463333333333338</v>
      </c>
      <c r="X92">
        <f t="shared" si="12"/>
        <v>72.954999999999998</v>
      </c>
      <c r="Y92">
        <f t="shared" si="13"/>
        <v>6.49166666666666</v>
      </c>
      <c r="AA92">
        <f t="shared" si="14"/>
        <v>12.98333333333332</v>
      </c>
      <c r="AB92">
        <f t="shared" si="15"/>
        <v>25.509999999999991</v>
      </c>
      <c r="AE92">
        <f t="shared" si="16"/>
        <v>0.50895073827257253</v>
      </c>
      <c r="AG92">
        <f t="shared" si="17"/>
        <v>0.50895073827257253</v>
      </c>
    </row>
    <row r="93" spans="1:33" x14ac:dyDescent="0.35">
      <c r="A93" s="1">
        <v>92</v>
      </c>
      <c r="B93" t="s">
        <v>110</v>
      </c>
      <c r="C93">
        <v>39.9</v>
      </c>
      <c r="D93">
        <v>104</v>
      </c>
      <c r="E93" t="s">
        <v>110</v>
      </c>
      <c r="F93">
        <v>32.200000000000003</v>
      </c>
      <c r="G93">
        <v>116</v>
      </c>
      <c r="H93" t="s">
        <v>110</v>
      </c>
      <c r="I93">
        <v>45.4</v>
      </c>
      <c r="J93">
        <v>73</v>
      </c>
      <c r="K93" t="s">
        <v>110</v>
      </c>
      <c r="L93">
        <v>61.08</v>
      </c>
      <c r="M93">
        <v>65</v>
      </c>
      <c r="N93" t="s">
        <v>110</v>
      </c>
      <c r="O93">
        <v>69.14</v>
      </c>
      <c r="P93">
        <v>92</v>
      </c>
      <c r="Q93" t="s">
        <v>110</v>
      </c>
      <c r="R93">
        <v>50.15</v>
      </c>
      <c r="S93">
        <v>89</v>
      </c>
      <c r="U93">
        <f t="shared" si="9"/>
        <v>32.200000000000003</v>
      </c>
      <c r="V93">
        <f t="shared" si="10"/>
        <v>69.14</v>
      </c>
      <c r="W93">
        <f t="shared" si="11"/>
        <v>49.644999999999989</v>
      </c>
      <c r="X93">
        <f t="shared" si="12"/>
        <v>50.67</v>
      </c>
      <c r="Y93">
        <f t="shared" si="13"/>
        <v>1.0250000000000128</v>
      </c>
      <c r="AA93">
        <f t="shared" si="14"/>
        <v>2.0500000000000256</v>
      </c>
      <c r="AB93">
        <f t="shared" si="15"/>
        <v>36.94</v>
      </c>
      <c r="AE93">
        <f t="shared" si="16"/>
        <v>5.5495397942610332E-2</v>
      </c>
      <c r="AG93">
        <f t="shared" si="17"/>
        <v>5.5495397942610332E-2</v>
      </c>
    </row>
    <row r="94" spans="1:33" x14ac:dyDescent="0.35">
      <c r="A94" s="1">
        <v>93</v>
      </c>
      <c r="B94" t="s">
        <v>111</v>
      </c>
      <c r="C94">
        <v>36.9</v>
      </c>
      <c r="D94">
        <v>117</v>
      </c>
      <c r="E94" t="s">
        <v>111</v>
      </c>
      <c r="F94">
        <v>32.299999999999997</v>
      </c>
      <c r="G94">
        <v>115</v>
      </c>
      <c r="H94" t="s">
        <v>111</v>
      </c>
      <c r="I94">
        <v>28</v>
      </c>
      <c r="J94">
        <v>139</v>
      </c>
      <c r="K94" t="s">
        <v>111</v>
      </c>
      <c r="L94">
        <v>33.78</v>
      </c>
      <c r="M94">
        <v>164</v>
      </c>
      <c r="N94" t="s">
        <v>111</v>
      </c>
      <c r="O94">
        <v>47.17</v>
      </c>
      <c r="P94">
        <v>149</v>
      </c>
      <c r="Q94" t="s">
        <v>111</v>
      </c>
      <c r="R94">
        <v>20.81</v>
      </c>
      <c r="S94">
        <v>171</v>
      </c>
      <c r="U94">
        <f t="shared" si="9"/>
        <v>20.81</v>
      </c>
      <c r="V94">
        <f t="shared" si="10"/>
        <v>47.17</v>
      </c>
      <c r="W94">
        <f t="shared" si="11"/>
        <v>33.159999999999997</v>
      </c>
      <c r="X94">
        <f t="shared" si="12"/>
        <v>33.99</v>
      </c>
      <c r="Y94">
        <f t="shared" si="13"/>
        <v>0.8300000000000054</v>
      </c>
      <c r="AA94">
        <f t="shared" si="14"/>
        <v>1.6600000000000108</v>
      </c>
      <c r="AB94">
        <f t="shared" si="15"/>
        <v>26.360000000000003</v>
      </c>
      <c r="AE94">
        <f t="shared" si="16"/>
        <v>6.2974203338391904E-2</v>
      </c>
      <c r="AG94">
        <f t="shared" si="17"/>
        <v>6.2974203338391904E-2</v>
      </c>
    </row>
    <row r="95" spans="1:33" x14ac:dyDescent="0.35">
      <c r="A95" s="1">
        <v>94</v>
      </c>
      <c r="B95" t="s">
        <v>112</v>
      </c>
      <c r="C95">
        <v>34.299999999999997</v>
      </c>
      <c r="D95">
        <v>129</v>
      </c>
      <c r="E95" t="s">
        <v>112</v>
      </c>
      <c r="F95">
        <v>24.9</v>
      </c>
      <c r="G95">
        <v>139</v>
      </c>
      <c r="H95" t="s">
        <v>112</v>
      </c>
      <c r="I95">
        <v>22.6</v>
      </c>
      <c r="J95">
        <v>151</v>
      </c>
      <c r="K95" t="s">
        <v>112</v>
      </c>
      <c r="L95">
        <v>41.62</v>
      </c>
      <c r="M95">
        <v>151</v>
      </c>
      <c r="N95" t="s">
        <v>112</v>
      </c>
      <c r="O95">
        <v>43.42</v>
      </c>
      <c r="P95">
        <v>159</v>
      </c>
      <c r="Q95" t="s">
        <v>112</v>
      </c>
      <c r="R95">
        <v>23.95</v>
      </c>
      <c r="S95">
        <v>168</v>
      </c>
      <c r="U95">
        <f t="shared" si="9"/>
        <v>22.6</v>
      </c>
      <c r="V95">
        <f t="shared" si="10"/>
        <v>43.42</v>
      </c>
      <c r="W95">
        <f t="shared" si="11"/>
        <v>31.798333333333328</v>
      </c>
      <c r="X95">
        <f t="shared" si="12"/>
        <v>33.010000000000005</v>
      </c>
      <c r="Y95">
        <f t="shared" si="13"/>
        <v>1.2116666666666767</v>
      </c>
      <c r="AA95">
        <f t="shared" si="14"/>
        <v>2.4233333333333533</v>
      </c>
      <c r="AB95">
        <f t="shared" si="15"/>
        <v>20.82</v>
      </c>
      <c r="AE95">
        <f t="shared" si="16"/>
        <v>0.11639449247518507</v>
      </c>
      <c r="AG95">
        <f t="shared" si="17"/>
        <v>0.11639449247518507</v>
      </c>
    </row>
    <row r="96" spans="1:33" x14ac:dyDescent="0.35">
      <c r="A96" s="1">
        <v>95</v>
      </c>
      <c r="B96" t="s">
        <v>113</v>
      </c>
      <c r="C96">
        <v>64.099999999999994</v>
      </c>
      <c r="D96">
        <v>20</v>
      </c>
      <c r="E96" t="s">
        <v>113</v>
      </c>
      <c r="F96">
        <v>55.9</v>
      </c>
      <c r="G96">
        <v>30</v>
      </c>
      <c r="H96" t="s">
        <v>113</v>
      </c>
      <c r="I96">
        <v>62.9</v>
      </c>
      <c r="J96">
        <v>33</v>
      </c>
      <c r="K96" t="s">
        <v>113</v>
      </c>
      <c r="L96">
        <v>69.33</v>
      </c>
      <c r="M96">
        <v>29</v>
      </c>
      <c r="N96" t="s">
        <v>113</v>
      </c>
      <c r="O96">
        <v>85.49</v>
      </c>
      <c r="P96">
        <v>23</v>
      </c>
      <c r="Q96" t="s">
        <v>113</v>
      </c>
      <c r="R96">
        <v>61.26</v>
      </c>
      <c r="S96">
        <v>49</v>
      </c>
      <c r="U96">
        <f t="shared" si="9"/>
        <v>55.9</v>
      </c>
      <c r="V96">
        <f t="shared" si="10"/>
        <v>85.49</v>
      </c>
      <c r="W96">
        <f t="shared" si="11"/>
        <v>66.49666666666667</v>
      </c>
      <c r="X96">
        <f t="shared" si="12"/>
        <v>70.694999999999993</v>
      </c>
      <c r="Y96">
        <f t="shared" si="13"/>
        <v>4.1983333333333235</v>
      </c>
      <c r="AA96">
        <f t="shared" si="14"/>
        <v>8.396666666666647</v>
      </c>
      <c r="AB96">
        <f t="shared" si="15"/>
        <v>29.589999999999996</v>
      </c>
      <c r="AE96">
        <f t="shared" si="16"/>
        <v>0.28376703841387796</v>
      </c>
      <c r="AG96">
        <f t="shared" si="17"/>
        <v>0.28376703841387796</v>
      </c>
    </row>
    <row r="97" spans="1:33" x14ac:dyDescent="0.35">
      <c r="A97" s="1">
        <v>96</v>
      </c>
      <c r="B97" t="s">
        <v>114</v>
      </c>
      <c r="C97">
        <v>75.099999999999994</v>
      </c>
      <c r="D97">
        <v>2</v>
      </c>
      <c r="E97" t="s">
        <v>114</v>
      </c>
      <c r="F97">
        <v>72.3</v>
      </c>
      <c r="G97">
        <v>6</v>
      </c>
      <c r="H97" t="s">
        <v>114</v>
      </c>
      <c r="I97">
        <v>82.3</v>
      </c>
      <c r="J97">
        <v>2</v>
      </c>
      <c r="K97" t="s">
        <v>114</v>
      </c>
      <c r="L97">
        <v>79.12</v>
      </c>
      <c r="M97">
        <v>7</v>
      </c>
      <c r="N97" t="s">
        <v>114</v>
      </c>
      <c r="O97">
        <v>86.58</v>
      </c>
      <c r="P97">
        <v>20</v>
      </c>
      <c r="Q97" t="s">
        <v>114</v>
      </c>
      <c r="R97">
        <v>83.29</v>
      </c>
      <c r="S97">
        <v>2</v>
      </c>
      <c r="U97">
        <f t="shared" si="9"/>
        <v>72.3</v>
      </c>
      <c r="V97">
        <f t="shared" si="10"/>
        <v>86.58</v>
      </c>
      <c r="W97">
        <f t="shared" si="11"/>
        <v>79.781666666666666</v>
      </c>
      <c r="X97">
        <f t="shared" si="12"/>
        <v>79.44</v>
      </c>
      <c r="Y97">
        <f t="shared" si="13"/>
        <v>-0.34166666666666856</v>
      </c>
      <c r="AA97">
        <f t="shared" si="14"/>
        <v>-0.68333333333333712</v>
      </c>
      <c r="AB97">
        <f t="shared" si="15"/>
        <v>14.280000000000001</v>
      </c>
      <c r="AE97">
        <f t="shared" si="16"/>
        <v>-4.7852474323062819E-2</v>
      </c>
      <c r="AG97">
        <f t="shared" si="17"/>
        <v>4.7852474323062819E-2</v>
      </c>
    </row>
    <row r="98" spans="1:33" x14ac:dyDescent="0.35">
      <c r="A98" s="1">
        <v>97</v>
      </c>
      <c r="B98" t="s">
        <v>115</v>
      </c>
      <c r="C98">
        <v>30.1</v>
      </c>
      <c r="D98">
        <v>140</v>
      </c>
      <c r="E98" t="s">
        <v>115</v>
      </c>
      <c r="F98">
        <v>28</v>
      </c>
      <c r="G98">
        <v>133</v>
      </c>
      <c r="H98" t="s">
        <v>115</v>
      </c>
      <c r="I98">
        <v>26.5</v>
      </c>
      <c r="J98">
        <v>145</v>
      </c>
      <c r="K98" t="s">
        <v>115</v>
      </c>
      <c r="L98">
        <v>33.729999999999997</v>
      </c>
      <c r="M98">
        <v>166</v>
      </c>
      <c r="N98" t="s">
        <v>115</v>
      </c>
      <c r="O98">
        <v>37.1</v>
      </c>
      <c r="P98">
        <v>170</v>
      </c>
      <c r="Q98" t="s">
        <v>115</v>
      </c>
      <c r="R98">
        <v>26.7</v>
      </c>
      <c r="S98">
        <v>162</v>
      </c>
      <c r="U98">
        <f t="shared" si="9"/>
        <v>26.5</v>
      </c>
      <c r="V98">
        <f t="shared" si="10"/>
        <v>37.1</v>
      </c>
      <c r="W98">
        <f t="shared" si="11"/>
        <v>30.354999999999993</v>
      </c>
      <c r="X98">
        <f t="shared" si="12"/>
        <v>31.8</v>
      </c>
      <c r="Y98">
        <f t="shared" si="13"/>
        <v>1.4450000000000074</v>
      </c>
      <c r="AA98">
        <f t="shared" si="14"/>
        <v>2.8900000000000148</v>
      </c>
      <c r="AB98">
        <f t="shared" si="15"/>
        <v>10.600000000000001</v>
      </c>
      <c r="AE98">
        <f t="shared" si="16"/>
        <v>0.27264150943396365</v>
      </c>
      <c r="AG98">
        <f t="shared" si="17"/>
        <v>0.27264150943396365</v>
      </c>
    </row>
    <row r="99" spans="1:33" x14ac:dyDescent="0.35">
      <c r="A99" s="1">
        <v>98</v>
      </c>
      <c r="B99" t="s">
        <v>116</v>
      </c>
      <c r="C99">
        <v>35.1</v>
      </c>
      <c r="D99">
        <v>126</v>
      </c>
      <c r="E99" t="s">
        <v>116</v>
      </c>
      <c r="F99">
        <v>40.6</v>
      </c>
      <c r="G99">
        <v>81</v>
      </c>
      <c r="H99" t="s">
        <v>116</v>
      </c>
      <c r="I99">
        <v>38.299999999999997</v>
      </c>
      <c r="J99">
        <v>99</v>
      </c>
      <c r="K99" t="s">
        <v>116</v>
      </c>
      <c r="L99">
        <v>49.21</v>
      </c>
      <c r="M99">
        <v>118</v>
      </c>
      <c r="N99" t="s">
        <v>116</v>
      </c>
      <c r="O99">
        <v>49.69</v>
      </c>
      <c r="P99">
        <v>144</v>
      </c>
      <c r="Q99" t="s">
        <v>116</v>
      </c>
      <c r="R99">
        <v>40.06</v>
      </c>
      <c r="S99">
        <v>125</v>
      </c>
      <c r="U99">
        <f t="shared" si="9"/>
        <v>35.1</v>
      </c>
      <c r="V99">
        <f t="shared" si="10"/>
        <v>49.69</v>
      </c>
      <c r="W99">
        <f t="shared" si="11"/>
        <v>42.160000000000004</v>
      </c>
      <c r="X99">
        <f t="shared" si="12"/>
        <v>42.394999999999996</v>
      </c>
      <c r="Y99">
        <f t="shared" si="13"/>
        <v>0.23499999999999233</v>
      </c>
      <c r="AA99">
        <f t="shared" si="14"/>
        <v>0.46999999999998465</v>
      </c>
      <c r="AB99">
        <f t="shared" si="15"/>
        <v>14.589999999999996</v>
      </c>
      <c r="AE99">
        <f t="shared" si="16"/>
        <v>3.2213845099382098E-2</v>
      </c>
      <c r="AG99">
        <f t="shared" si="17"/>
        <v>3.2213845099382098E-2</v>
      </c>
    </row>
    <row r="100" spans="1:33" x14ac:dyDescent="0.35">
      <c r="A100" s="1">
        <v>99</v>
      </c>
      <c r="B100" t="s">
        <v>117</v>
      </c>
      <c r="C100">
        <v>41</v>
      </c>
      <c r="D100">
        <v>97</v>
      </c>
      <c r="E100" t="s">
        <v>117</v>
      </c>
      <c r="F100">
        <v>35</v>
      </c>
      <c r="G100">
        <v>106</v>
      </c>
      <c r="H100" t="s">
        <v>117</v>
      </c>
      <c r="I100">
        <v>47.9</v>
      </c>
      <c r="J100">
        <v>64</v>
      </c>
      <c r="K100" t="s">
        <v>117</v>
      </c>
      <c r="L100">
        <v>59.22</v>
      </c>
      <c r="M100">
        <v>73</v>
      </c>
      <c r="N100" t="s">
        <v>117</v>
      </c>
      <c r="O100">
        <v>74.23</v>
      </c>
      <c r="P100">
        <v>63</v>
      </c>
      <c r="Q100" t="s">
        <v>117</v>
      </c>
      <c r="R100">
        <v>59.31</v>
      </c>
      <c r="S100">
        <v>51</v>
      </c>
      <c r="U100">
        <f t="shared" si="9"/>
        <v>35</v>
      </c>
      <c r="V100">
        <f t="shared" si="10"/>
        <v>74.23</v>
      </c>
      <c r="W100">
        <f t="shared" si="11"/>
        <v>52.776666666666671</v>
      </c>
      <c r="X100">
        <f t="shared" si="12"/>
        <v>54.615000000000002</v>
      </c>
      <c r="Y100">
        <f t="shared" si="13"/>
        <v>1.8383333333333312</v>
      </c>
      <c r="AA100">
        <f t="shared" si="14"/>
        <v>3.6766666666666623</v>
      </c>
      <c r="AB100">
        <f t="shared" si="15"/>
        <v>39.230000000000004</v>
      </c>
      <c r="AE100">
        <f t="shared" si="16"/>
        <v>9.3720791910952381E-2</v>
      </c>
      <c r="AG100">
        <f t="shared" si="17"/>
        <v>9.3720791910952381E-2</v>
      </c>
    </row>
    <row r="101" spans="1:33" x14ac:dyDescent="0.35">
      <c r="A101" s="1">
        <v>100</v>
      </c>
      <c r="B101" t="s">
        <v>118</v>
      </c>
      <c r="C101">
        <v>34.5</v>
      </c>
      <c r="D101">
        <v>128</v>
      </c>
      <c r="E101" t="s">
        <v>118</v>
      </c>
      <c r="F101">
        <v>28.5</v>
      </c>
      <c r="G101">
        <v>128</v>
      </c>
      <c r="H101" t="s">
        <v>118</v>
      </c>
      <c r="I101">
        <v>29.4</v>
      </c>
      <c r="J101">
        <v>134</v>
      </c>
      <c r="K101" t="s">
        <v>118</v>
      </c>
      <c r="L101">
        <v>43.71</v>
      </c>
      <c r="M101">
        <v>138</v>
      </c>
      <c r="N101" t="s">
        <v>118</v>
      </c>
      <c r="O101">
        <v>41.48</v>
      </c>
      <c r="P101">
        <v>166</v>
      </c>
      <c r="Q101" t="s">
        <v>118</v>
      </c>
      <c r="R101">
        <v>18.43</v>
      </c>
      <c r="S101">
        <v>173</v>
      </c>
      <c r="U101">
        <f t="shared" si="9"/>
        <v>18.43</v>
      </c>
      <c r="V101">
        <f t="shared" si="10"/>
        <v>43.71</v>
      </c>
      <c r="W101">
        <f t="shared" si="11"/>
        <v>32.67</v>
      </c>
      <c r="X101">
        <f t="shared" si="12"/>
        <v>31.07</v>
      </c>
      <c r="Y101">
        <f t="shared" si="13"/>
        <v>-1.6000000000000014</v>
      </c>
      <c r="AA101">
        <f t="shared" si="14"/>
        <v>-3.2000000000000028</v>
      </c>
      <c r="AB101">
        <f t="shared" si="15"/>
        <v>25.28</v>
      </c>
      <c r="AE101">
        <f t="shared" si="16"/>
        <v>-0.12658227848101278</v>
      </c>
      <c r="AG101">
        <f t="shared" si="17"/>
        <v>0.12658227848101278</v>
      </c>
    </row>
    <row r="102" spans="1:33" x14ac:dyDescent="0.35">
      <c r="A102" s="1">
        <v>101</v>
      </c>
      <c r="B102" t="s">
        <v>119</v>
      </c>
      <c r="C102">
        <v>66.900000000000006</v>
      </c>
      <c r="D102">
        <v>13</v>
      </c>
      <c r="E102" t="s">
        <v>119</v>
      </c>
      <c r="F102">
        <v>75.2</v>
      </c>
      <c r="G102">
        <v>4</v>
      </c>
      <c r="H102" t="s">
        <v>119</v>
      </c>
      <c r="I102">
        <v>70.7</v>
      </c>
      <c r="J102">
        <v>21</v>
      </c>
      <c r="K102" t="s">
        <v>119</v>
      </c>
      <c r="L102">
        <v>80.900000000000006</v>
      </c>
      <c r="M102">
        <v>4</v>
      </c>
      <c r="N102" t="s">
        <v>119</v>
      </c>
      <c r="O102">
        <v>88.48</v>
      </c>
      <c r="P102">
        <v>9</v>
      </c>
      <c r="Q102" t="s">
        <v>119</v>
      </c>
      <c r="R102">
        <v>67.42</v>
      </c>
      <c r="S102">
        <v>34</v>
      </c>
      <c r="U102">
        <f t="shared" si="9"/>
        <v>66.900000000000006</v>
      </c>
      <c r="V102">
        <f t="shared" si="10"/>
        <v>88.48</v>
      </c>
      <c r="W102">
        <f t="shared" si="11"/>
        <v>74.933333333333351</v>
      </c>
      <c r="X102">
        <f t="shared" si="12"/>
        <v>77.69</v>
      </c>
      <c r="Y102">
        <f t="shared" si="13"/>
        <v>2.7566666666666464</v>
      </c>
      <c r="AA102">
        <f t="shared" si="14"/>
        <v>5.5133333333332928</v>
      </c>
      <c r="AB102">
        <f t="shared" si="15"/>
        <v>21.58</v>
      </c>
      <c r="AE102">
        <f t="shared" si="16"/>
        <v>0.25548347235094038</v>
      </c>
      <c r="AG102">
        <f t="shared" si="17"/>
        <v>0.25548347235094038</v>
      </c>
    </row>
    <row r="103" spans="1:33" x14ac:dyDescent="0.35">
      <c r="A103" s="1">
        <v>102</v>
      </c>
      <c r="B103" t="s">
        <v>120</v>
      </c>
      <c r="C103">
        <v>34.6</v>
      </c>
      <c r="D103">
        <v>127</v>
      </c>
      <c r="E103" t="s">
        <v>120</v>
      </c>
      <c r="F103">
        <v>28.1</v>
      </c>
      <c r="G103">
        <v>132</v>
      </c>
      <c r="H103" t="s">
        <v>120</v>
      </c>
      <c r="I103">
        <v>27.7</v>
      </c>
      <c r="J103">
        <v>141</v>
      </c>
      <c r="K103" t="s">
        <v>120</v>
      </c>
      <c r="L103">
        <v>39.24</v>
      </c>
      <c r="M103">
        <v>157</v>
      </c>
      <c r="N103" t="s">
        <v>120</v>
      </c>
      <c r="O103">
        <v>46.31</v>
      </c>
      <c r="P103">
        <v>152</v>
      </c>
      <c r="Q103" t="s">
        <v>120</v>
      </c>
      <c r="R103">
        <v>27.19</v>
      </c>
      <c r="S103">
        <v>161</v>
      </c>
      <c r="U103">
        <f t="shared" si="9"/>
        <v>27.19</v>
      </c>
      <c r="V103">
        <f t="shared" si="10"/>
        <v>46.31</v>
      </c>
      <c r="W103">
        <f t="shared" si="11"/>
        <v>33.856666666666669</v>
      </c>
      <c r="X103">
        <f t="shared" si="12"/>
        <v>36.75</v>
      </c>
      <c r="Y103">
        <f t="shared" si="13"/>
        <v>2.8933333333333309</v>
      </c>
      <c r="AA103">
        <f t="shared" si="14"/>
        <v>5.7866666666666617</v>
      </c>
      <c r="AB103">
        <f t="shared" si="15"/>
        <v>19.12</v>
      </c>
      <c r="AE103">
        <f t="shared" si="16"/>
        <v>0.30264993026499276</v>
      </c>
      <c r="AG103">
        <f t="shared" si="17"/>
        <v>0.30264993026499276</v>
      </c>
    </row>
    <row r="104" spans="1:33" x14ac:dyDescent="0.35">
      <c r="A104" s="1">
        <v>103</v>
      </c>
      <c r="B104" t="s">
        <v>121</v>
      </c>
      <c r="C104">
        <v>47.3</v>
      </c>
      <c r="D104">
        <v>66</v>
      </c>
      <c r="E104" t="s">
        <v>121</v>
      </c>
      <c r="F104">
        <v>44.8</v>
      </c>
      <c r="G104">
        <v>67</v>
      </c>
      <c r="H104" t="s">
        <v>121</v>
      </c>
      <c r="I104">
        <v>45.1</v>
      </c>
      <c r="J104">
        <v>75</v>
      </c>
      <c r="K104" t="s">
        <v>121</v>
      </c>
      <c r="L104">
        <v>56.63</v>
      </c>
      <c r="M104">
        <v>87</v>
      </c>
      <c r="N104" t="s">
        <v>121</v>
      </c>
      <c r="O104">
        <v>70.849999999999994</v>
      </c>
      <c r="P104">
        <v>77</v>
      </c>
      <c r="Q104" t="s">
        <v>121</v>
      </c>
      <c r="R104">
        <v>58.09</v>
      </c>
      <c r="S104">
        <v>56</v>
      </c>
      <c r="U104">
        <f t="shared" si="9"/>
        <v>44.8</v>
      </c>
      <c r="V104">
        <f t="shared" si="10"/>
        <v>70.849999999999994</v>
      </c>
      <c r="W104">
        <f t="shared" si="11"/>
        <v>53.794999999999995</v>
      </c>
      <c r="X104">
        <f t="shared" si="12"/>
        <v>57.824999999999996</v>
      </c>
      <c r="Y104">
        <f t="shared" si="13"/>
        <v>4.0300000000000011</v>
      </c>
      <c r="AA104">
        <f t="shared" si="14"/>
        <v>8.0600000000000023</v>
      </c>
      <c r="AB104">
        <f t="shared" si="15"/>
        <v>26.049999999999997</v>
      </c>
      <c r="AE104">
        <f t="shared" si="16"/>
        <v>0.30940499040307112</v>
      </c>
      <c r="AG104">
        <f t="shared" si="17"/>
        <v>0.30940499040307112</v>
      </c>
    </row>
    <row r="105" spans="1:33" x14ac:dyDescent="0.35">
      <c r="A105" s="1">
        <v>104</v>
      </c>
      <c r="B105" t="s">
        <v>122</v>
      </c>
      <c r="C105">
        <v>44.2</v>
      </c>
      <c r="D105">
        <v>80</v>
      </c>
      <c r="E105" t="s">
        <v>122</v>
      </c>
      <c r="F105">
        <v>45.5</v>
      </c>
      <c r="G105">
        <v>64</v>
      </c>
      <c r="H105" t="s">
        <v>122</v>
      </c>
      <c r="I105">
        <v>52.6</v>
      </c>
      <c r="J105">
        <v>49</v>
      </c>
      <c r="K105" t="s">
        <v>122</v>
      </c>
      <c r="L105">
        <v>59.69</v>
      </c>
      <c r="M105">
        <v>70</v>
      </c>
      <c r="N105" t="s">
        <v>122</v>
      </c>
      <c r="O105">
        <v>73.59</v>
      </c>
      <c r="P105">
        <v>67</v>
      </c>
      <c r="Q105" t="s">
        <v>122</v>
      </c>
      <c r="R105">
        <v>55.03</v>
      </c>
      <c r="S105">
        <v>65</v>
      </c>
      <c r="U105">
        <f t="shared" si="9"/>
        <v>44.2</v>
      </c>
      <c r="V105">
        <f t="shared" si="10"/>
        <v>73.59</v>
      </c>
      <c r="W105">
        <f t="shared" si="11"/>
        <v>55.101666666666667</v>
      </c>
      <c r="X105">
        <f t="shared" si="12"/>
        <v>58.895000000000003</v>
      </c>
      <c r="Y105">
        <f t="shared" si="13"/>
        <v>3.7933333333333366</v>
      </c>
      <c r="AA105">
        <f t="shared" si="14"/>
        <v>7.5866666666666731</v>
      </c>
      <c r="AB105">
        <f t="shared" si="15"/>
        <v>29.39</v>
      </c>
      <c r="AE105">
        <f t="shared" si="16"/>
        <v>0.25813768855619845</v>
      </c>
      <c r="AG105">
        <f t="shared" si="17"/>
        <v>0.25813768855619845</v>
      </c>
    </row>
    <row r="106" spans="1:33" x14ac:dyDescent="0.35">
      <c r="A106" s="1">
        <v>105</v>
      </c>
      <c r="B106" t="s">
        <v>123</v>
      </c>
      <c r="C106">
        <v>46.1</v>
      </c>
      <c r="D106">
        <v>71</v>
      </c>
      <c r="E106" t="s">
        <v>123</v>
      </c>
      <c r="F106">
        <v>42.7</v>
      </c>
      <c r="G106">
        <v>71</v>
      </c>
      <c r="H106" t="s">
        <v>123</v>
      </c>
      <c r="I106">
        <v>44.4</v>
      </c>
      <c r="J106">
        <v>79</v>
      </c>
      <c r="K106" t="s">
        <v>123</v>
      </c>
      <c r="L106">
        <v>51.97</v>
      </c>
      <c r="M106">
        <v>105</v>
      </c>
      <c r="N106" t="s">
        <v>123</v>
      </c>
      <c r="O106">
        <v>76.69</v>
      </c>
      <c r="P106">
        <v>55</v>
      </c>
      <c r="Q106" t="s">
        <v>123</v>
      </c>
      <c r="R106">
        <v>53.36</v>
      </c>
      <c r="S106">
        <v>73</v>
      </c>
      <c r="U106">
        <f t="shared" si="9"/>
        <v>42.7</v>
      </c>
      <c r="V106">
        <f t="shared" si="10"/>
        <v>76.69</v>
      </c>
      <c r="W106">
        <f t="shared" si="11"/>
        <v>52.536666666666669</v>
      </c>
      <c r="X106">
        <f t="shared" si="12"/>
        <v>59.695</v>
      </c>
      <c r="Y106">
        <f t="shared" si="13"/>
        <v>7.1583333333333314</v>
      </c>
      <c r="AA106">
        <f t="shared" si="14"/>
        <v>14.316666666666663</v>
      </c>
      <c r="AB106">
        <f t="shared" si="15"/>
        <v>33.989999999999995</v>
      </c>
      <c r="AE106">
        <f t="shared" si="16"/>
        <v>0.42120231440619788</v>
      </c>
      <c r="AG106">
        <f t="shared" si="17"/>
        <v>0.42120231440619788</v>
      </c>
    </row>
    <row r="107" spans="1:33" x14ac:dyDescent="0.35">
      <c r="A107" s="1">
        <v>106</v>
      </c>
      <c r="B107" t="s">
        <v>124</v>
      </c>
      <c r="C107">
        <v>37.200000000000003</v>
      </c>
      <c r="D107">
        <v>116</v>
      </c>
      <c r="E107" t="s">
        <v>124</v>
      </c>
      <c r="F107">
        <v>29.6</v>
      </c>
      <c r="G107">
        <v>126</v>
      </c>
      <c r="H107" t="s">
        <v>124</v>
      </c>
      <c r="I107">
        <v>32.200000000000003</v>
      </c>
      <c r="J107">
        <v>123</v>
      </c>
      <c r="K107" t="s">
        <v>124</v>
      </c>
      <c r="L107">
        <v>57.51</v>
      </c>
      <c r="M107">
        <v>81</v>
      </c>
      <c r="N107" t="s">
        <v>124</v>
      </c>
      <c r="O107">
        <v>64.39</v>
      </c>
      <c r="P107">
        <v>111</v>
      </c>
      <c r="Q107" t="s">
        <v>124</v>
      </c>
      <c r="R107">
        <v>44.67</v>
      </c>
      <c r="S107">
        <v>109</v>
      </c>
      <c r="U107">
        <f t="shared" si="9"/>
        <v>29.6</v>
      </c>
      <c r="V107">
        <f t="shared" si="10"/>
        <v>64.39</v>
      </c>
      <c r="W107">
        <f t="shared" si="11"/>
        <v>44.261666666666677</v>
      </c>
      <c r="X107">
        <f t="shared" si="12"/>
        <v>46.995000000000005</v>
      </c>
      <c r="Y107">
        <f t="shared" si="13"/>
        <v>2.7333333333333272</v>
      </c>
      <c r="AA107">
        <f t="shared" si="14"/>
        <v>5.4666666666666544</v>
      </c>
      <c r="AB107">
        <f t="shared" si="15"/>
        <v>34.79</v>
      </c>
      <c r="AE107">
        <f t="shared" si="16"/>
        <v>0.15713327584554915</v>
      </c>
      <c r="AG107">
        <f t="shared" si="17"/>
        <v>0.15713327584554915</v>
      </c>
    </row>
    <row r="108" spans="1:33" x14ac:dyDescent="0.35">
      <c r="A108" s="1">
        <v>107</v>
      </c>
      <c r="B108" t="s">
        <v>125</v>
      </c>
      <c r="C108">
        <v>47.7</v>
      </c>
      <c r="D108">
        <v>64</v>
      </c>
      <c r="E108" t="s">
        <v>125</v>
      </c>
      <c r="F108">
        <v>46.9</v>
      </c>
      <c r="G108">
        <v>55</v>
      </c>
      <c r="H108" t="s">
        <v>125</v>
      </c>
      <c r="I108">
        <v>46.3</v>
      </c>
      <c r="J108">
        <v>70</v>
      </c>
      <c r="K108" t="s">
        <v>125</v>
      </c>
      <c r="L108">
        <v>61.33</v>
      </c>
      <c r="M108">
        <v>63</v>
      </c>
      <c r="N108" t="s">
        <v>125</v>
      </c>
      <c r="O108">
        <v>78.89</v>
      </c>
      <c r="P108">
        <v>47</v>
      </c>
      <c r="Q108" t="s">
        <v>125</v>
      </c>
      <c r="R108">
        <v>55.52</v>
      </c>
      <c r="S108">
        <v>62</v>
      </c>
      <c r="U108">
        <f t="shared" si="9"/>
        <v>46.3</v>
      </c>
      <c r="V108">
        <f t="shared" si="10"/>
        <v>78.89</v>
      </c>
      <c r="W108">
        <f t="shared" si="11"/>
        <v>56.106666666666655</v>
      </c>
      <c r="X108">
        <f t="shared" si="12"/>
        <v>62.594999999999999</v>
      </c>
      <c r="Y108">
        <f t="shared" si="13"/>
        <v>6.4883333333333439</v>
      </c>
      <c r="AA108">
        <f t="shared" si="14"/>
        <v>12.976666666666688</v>
      </c>
      <c r="AB108">
        <f t="shared" si="15"/>
        <v>32.590000000000003</v>
      </c>
      <c r="AE108">
        <f t="shared" si="16"/>
        <v>0.39817940063414198</v>
      </c>
      <c r="AG108">
        <f t="shared" si="17"/>
        <v>0.39817940063414198</v>
      </c>
    </row>
    <row r="109" spans="1:33" x14ac:dyDescent="0.35">
      <c r="A109" s="1">
        <v>108</v>
      </c>
      <c r="B109" t="s">
        <v>126</v>
      </c>
      <c r="C109">
        <v>39.5</v>
      </c>
      <c r="D109">
        <v>105</v>
      </c>
      <c r="E109" t="s">
        <v>126</v>
      </c>
      <c r="F109">
        <v>28.4</v>
      </c>
      <c r="G109">
        <v>129</v>
      </c>
      <c r="H109" t="s">
        <v>126</v>
      </c>
      <c r="I109">
        <v>42.3</v>
      </c>
      <c r="J109">
        <v>87</v>
      </c>
      <c r="K109" t="s">
        <v>126</v>
      </c>
      <c r="L109">
        <v>63.47</v>
      </c>
      <c r="M109">
        <v>52</v>
      </c>
      <c r="N109" t="s">
        <v>126</v>
      </c>
      <c r="O109">
        <v>74.180000000000007</v>
      </c>
      <c r="P109">
        <v>64</v>
      </c>
      <c r="Q109" t="s">
        <v>126</v>
      </c>
      <c r="R109">
        <v>51.89</v>
      </c>
      <c r="S109">
        <v>79</v>
      </c>
      <c r="U109">
        <f t="shared" si="9"/>
        <v>28.4</v>
      </c>
      <c r="V109">
        <f t="shared" si="10"/>
        <v>74.180000000000007</v>
      </c>
      <c r="W109">
        <f t="shared" si="11"/>
        <v>49.956666666666671</v>
      </c>
      <c r="X109">
        <f t="shared" si="12"/>
        <v>51.290000000000006</v>
      </c>
      <c r="Y109">
        <f t="shared" si="13"/>
        <v>1.3333333333333357</v>
      </c>
      <c r="AA109">
        <f t="shared" si="14"/>
        <v>2.6666666666666714</v>
      </c>
      <c r="AB109">
        <f t="shared" si="15"/>
        <v>45.780000000000008</v>
      </c>
      <c r="AE109">
        <f t="shared" si="16"/>
        <v>5.8249599534003299E-2</v>
      </c>
      <c r="AG109">
        <f t="shared" si="17"/>
        <v>5.8249599534003299E-2</v>
      </c>
    </row>
    <row r="110" spans="1:33" x14ac:dyDescent="0.35">
      <c r="A110" s="1">
        <v>109</v>
      </c>
      <c r="B110" t="s">
        <v>127</v>
      </c>
      <c r="C110">
        <v>39</v>
      </c>
      <c r="D110">
        <v>107</v>
      </c>
      <c r="E110" t="s">
        <v>127</v>
      </c>
      <c r="F110">
        <v>31.7</v>
      </c>
      <c r="G110">
        <v>118</v>
      </c>
      <c r="H110" t="s">
        <v>127</v>
      </c>
      <c r="I110">
        <v>33.9</v>
      </c>
      <c r="J110">
        <v>115</v>
      </c>
      <c r="K110" t="s">
        <v>127</v>
      </c>
      <c r="L110">
        <v>46.37</v>
      </c>
      <c r="M110">
        <v>126</v>
      </c>
      <c r="N110" t="s">
        <v>127</v>
      </c>
      <c r="O110">
        <v>41.82</v>
      </c>
      <c r="P110">
        <v>164</v>
      </c>
      <c r="Q110" t="s">
        <v>127</v>
      </c>
      <c r="R110">
        <v>29.97</v>
      </c>
      <c r="S110">
        <v>154</v>
      </c>
      <c r="U110">
        <f t="shared" si="9"/>
        <v>29.97</v>
      </c>
      <c r="V110">
        <f t="shared" si="10"/>
        <v>46.37</v>
      </c>
      <c r="W110">
        <f t="shared" si="11"/>
        <v>37.126666666666665</v>
      </c>
      <c r="X110">
        <f t="shared" si="12"/>
        <v>38.17</v>
      </c>
      <c r="Y110">
        <f t="shared" si="13"/>
        <v>1.0433333333333366</v>
      </c>
      <c r="AA110">
        <f t="shared" si="14"/>
        <v>2.0866666666666731</v>
      </c>
      <c r="AB110">
        <f t="shared" si="15"/>
        <v>16.399999999999999</v>
      </c>
      <c r="AE110">
        <f t="shared" si="16"/>
        <v>0.12723577235772399</v>
      </c>
      <c r="AG110">
        <f t="shared" si="17"/>
        <v>0.12723577235772399</v>
      </c>
    </row>
    <row r="111" spans="1:33" x14ac:dyDescent="0.35">
      <c r="A111" s="1">
        <v>110</v>
      </c>
      <c r="B111" t="s">
        <v>128</v>
      </c>
      <c r="C111">
        <v>27.1</v>
      </c>
      <c r="D111">
        <v>144</v>
      </c>
      <c r="E111" t="s">
        <v>128</v>
      </c>
      <c r="F111">
        <v>19.399999999999999</v>
      </c>
      <c r="G111">
        <v>144</v>
      </c>
      <c r="H111" t="s">
        <v>128</v>
      </c>
      <c r="I111">
        <v>25.1</v>
      </c>
      <c r="J111">
        <v>150</v>
      </c>
      <c r="K111" t="s">
        <v>128</v>
      </c>
      <c r="L111">
        <v>45.32</v>
      </c>
      <c r="M111">
        <v>129</v>
      </c>
      <c r="N111" t="s">
        <v>128</v>
      </c>
      <c r="O111">
        <v>48.98</v>
      </c>
      <c r="P111">
        <v>146</v>
      </c>
      <c r="Q111" t="s">
        <v>128</v>
      </c>
      <c r="R111">
        <v>27.44</v>
      </c>
      <c r="S111">
        <v>160</v>
      </c>
      <c r="U111">
        <f t="shared" si="9"/>
        <v>19.399999999999999</v>
      </c>
      <c r="V111">
        <f t="shared" si="10"/>
        <v>48.98</v>
      </c>
      <c r="W111">
        <f t="shared" si="11"/>
        <v>32.223333333333329</v>
      </c>
      <c r="X111">
        <f t="shared" si="12"/>
        <v>34.19</v>
      </c>
      <c r="Y111">
        <f t="shared" si="13"/>
        <v>1.9666666666666686</v>
      </c>
      <c r="AA111">
        <f t="shared" si="14"/>
        <v>3.9333333333333371</v>
      </c>
      <c r="AB111">
        <f t="shared" si="15"/>
        <v>29.58</v>
      </c>
      <c r="AE111">
        <f t="shared" si="16"/>
        <v>0.13297272932161383</v>
      </c>
      <c r="AG111">
        <f t="shared" si="17"/>
        <v>0.13297272932161383</v>
      </c>
    </row>
    <row r="112" spans="1:33" x14ac:dyDescent="0.35">
      <c r="A112" s="1">
        <v>111</v>
      </c>
      <c r="B112" t="s">
        <v>129</v>
      </c>
      <c r="C112">
        <v>44</v>
      </c>
      <c r="D112">
        <v>82</v>
      </c>
      <c r="E112" t="s">
        <v>129</v>
      </c>
      <c r="F112">
        <v>50.9</v>
      </c>
      <c r="G112">
        <v>40</v>
      </c>
      <c r="H112" t="s">
        <v>129</v>
      </c>
      <c r="I112">
        <v>40.200000000000003</v>
      </c>
      <c r="J112">
        <v>91</v>
      </c>
      <c r="K112" t="s">
        <v>129</v>
      </c>
      <c r="L112">
        <v>58.46</v>
      </c>
      <c r="M112">
        <v>77</v>
      </c>
      <c r="N112" t="s">
        <v>129</v>
      </c>
      <c r="O112">
        <v>70.84</v>
      </c>
      <c r="P112">
        <v>78</v>
      </c>
      <c r="Q112" t="s">
        <v>129</v>
      </c>
      <c r="R112">
        <v>43.71</v>
      </c>
      <c r="S112">
        <v>114</v>
      </c>
      <c r="U112">
        <f t="shared" si="9"/>
        <v>40.200000000000003</v>
      </c>
      <c r="V112">
        <f t="shared" si="10"/>
        <v>70.84</v>
      </c>
      <c r="W112">
        <f t="shared" si="11"/>
        <v>51.351666666666667</v>
      </c>
      <c r="X112">
        <f t="shared" si="12"/>
        <v>55.52</v>
      </c>
      <c r="Y112">
        <f t="shared" si="13"/>
        <v>4.1683333333333366</v>
      </c>
      <c r="AA112">
        <f t="shared" si="14"/>
        <v>8.3366666666666731</v>
      </c>
      <c r="AB112">
        <f t="shared" si="15"/>
        <v>30.64</v>
      </c>
      <c r="AE112">
        <f t="shared" si="16"/>
        <v>0.27208442123585747</v>
      </c>
      <c r="AG112">
        <f t="shared" si="17"/>
        <v>0.27208442123585747</v>
      </c>
    </row>
    <row r="113" spans="1:33" x14ac:dyDescent="0.35">
      <c r="A113" s="1">
        <v>112</v>
      </c>
      <c r="B113" t="s">
        <v>130</v>
      </c>
      <c r="C113">
        <v>33.1</v>
      </c>
      <c r="D113">
        <v>133</v>
      </c>
      <c r="E113" t="s">
        <v>130</v>
      </c>
      <c r="F113">
        <v>28.3</v>
      </c>
      <c r="G113">
        <v>130</v>
      </c>
      <c r="H113" t="s">
        <v>130</v>
      </c>
      <c r="I113">
        <v>32.700000000000003</v>
      </c>
      <c r="J113">
        <v>121</v>
      </c>
      <c r="K113" t="s">
        <v>130</v>
      </c>
      <c r="L113">
        <v>31.44</v>
      </c>
      <c r="M113">
        <v>167</v>
      </c>
      <c r="N113" t="s">
        <v>130</v>
      </c>
      <c r="O113">
        <v>50.21</v>
      </c>
      <c r="P113">
        <v>143</v>
      </c>
      <c r="Q113" t="s">
        <v>130</v>
      </c>
      <c r="R113">
        <v>37</v>
      </c>
      <c r="S113">
        <v>136</v>
      </c>
      <c r="U113">
        <f t="shared" si="9"/>
        <v>28.3</v>
      </c>
      <c r="V113">
        <f t="shared" si="10"/>
        <v>50.21</v>
      </c>
      <c r="W113">
        <f t="shared" si="11"/>
        <v>35.458333333333336</v>
      </c>
      <c r="X113">
        <f t="shared" si="12"/>
        <v>39.255000000000003</v>
      </c>
      <c r="Y113">
        <f t="shared" si="13"/>
        <v>3.7966666666666669</v>
      </c>
      <c r="AA113">
        <f t="shared" si="14"/>
        <v>7.5933333333333337</v>
      </c>
      <c r="AB113">
        <f t="shared" si="15"/>
        <v>21.91</v>
      </c>
      <c r="AE113">
        <f t="shared" si="16"/>
        <v>0.34656929864597597</v>
      </c>
      <c r="AG113">
        <f t="shared" si="17"/>
        <v>0.34656929864597597</v>
      </c>
    </row>
    <row r="114" spans="1:33" x14ac:dyDescent="0.35">
      <c r="A114" s="1">
        <v>113</v>
      </c>
      <c r="B114" t="s">
        <v>131</v>
      </c>
      <c r="C114">
        <v>66.900000000000006</v>
      </c>
      <c r="D114">
        <v>13</v>
      </c>
      <c r="E114" t="s">
        <v>131</v>
      </c>
      <c r="F114">
        <v>62.6</v>
      </c>
      <c r="G114">
        <v>11</v>
      </c>
      <c r="H114" t="s">
        <v>131</v>
      </c>
      <c r="I114">
        <v>75.3</v>
      </c>
      <c r="J114">
        <v>11</v>
      </c>
      <c r="K114" t="s">
        <v>131</v>
      </c>
      <c r="L114">
        <v>75.459999999999994</v>
      </c>
      <c r="M114">
        <v>18</v>
      </c>
      <c r="N114" t="s">
        <v>131</v>
      </c>
      <c r="O114">
        <v>82.03</v>
      </c>
      <c r="P114">
        <v>36</v>
      </c>
      <c r="Q114" t="s">
        <v>131</v>
      </c>
      <c r="R114">
        <v>77.75</v>
      </c>
      <c r="S114">
        <v>11</v>
      </c>
      <c r="U114">
        <f t="shared" si="9"/>
        <v>62.6</v>
      </c>
      <c r="V114">
        <f t="shared" si="10"/>
        <v>82.03</v>
      </c>
      <c r="W114">
        <f t="shared" si="11"/>
        <v>73.339999999999989</v>
      </c>
      <c r="X114">
        <f t="shared" si="12"/>
        <v>72.314999999999998</v>
      </c>
      <c r="Y114">
        <f t="shared" si="13"/>
        <v>-1.0249999999999915</v>
      </c>
      <c r="AA114">
        <f t="shared" si="14"/>
        <v>-2.0499999999999829</v>
      </c>
      <c r="AB114">
        <f t="shared" si="15"/>
        <v>19.43</v>
      </c>
      <c r="AE114">
        <f t="shared" si="16"/>
        <v>-0.10550694801852717</v>
      </c>
      <c r="AG114">
        <f t="shared" si="17"/>
        <v>0.10550694801852717</v>
      </c>
    </row>
    <row r="115" spans="1:33" x14ac:dyDescent="0.35">
      <c r="A115" s="1">
        <v>114</v>
      </c>
      <c r="B115" t="s">
        <v>132</v>
      </c>
      <c r="C115">
        <v>57.3</v>
      </c>
      <c r="D115">
        <v>32</v>
      </c>
      <c r="E115" t="s">
        <v>132</v>
      </c>
      <c r="F115">
        <v>56.7</v>
      </c>
      <c r="G115">
        <v>26</v>
      </c>
      <c r="H115" t="s">
        <v>132</v>
      </c>
      <c r="I115">
        <v>71.3</v>
      </c>
      <c r="J115">
        <v>19</v>
      </c>
      <c r="K115" t="s">
        <v>132</v>
      </c>
      <c r="L115">
        <v>75.959999999999994</v>
      </c>
      <c r="M115">
        <v>17</v>
      </c>
      <c r="N115" t="s">
        <v>132</v>
      </c>
      <c r="O115">
        <v>88</v>
      </c>
      <c r="P115">
        <v>11</v>
      </c>
      <c r="Q115" t="s">
        <v>132</v>
      </c>
      <c r="R115">
        <v>76.41</v>
      </c>
      <c r="S115">
        <v>16</v>
      </c>
      <c r="U115">
        <f t="shared" si="9"/>
        <v>56.7</v>
      </c>
      <c r="V115">
        <f t="shared" si="10"/>
        <v>88</v>
      </c>
      <c r="W115">
        <f t="shared" si="11"/>
        <v>70.944999999999993</v>
      </c>
      <c r="X115">
        <f t="shared" si="12"/>
        <v>72.349999999999994</v>
      </c>
      <c r="Y115">
        <f t="shared" si="13"/>
        <v>1.4050000000000011</v>
      </c>
      <c r="AA115">
        <f t="shared" si="14"/>
        <v>2.8100000000000023</v>
      </c>
      <c r="AB115">
        <f t="shared" si="15"/>
        <v>31.299999999999997</v>
      </c>
      <c r="AE115">
        <f t="shared" si="16"/>
        <v>8.9776357827476116E-2</v>
      </c>
      <c r="AG115">
        <f t="shared" si="17"/>
        <v>8.9776357827476116E-2</v>
      </c>
    </row>
    <row r="116" spans="1:33" x14ac:dyDescent="0.35">
      <c r="A116" s="1">
        <v>115</v>
      </c>
      <c r="B116" t="s">
        <v>133</v>
      </c>
      <c r="C116">
        <v>47.4</v>
      </c>
      <c r="D116">
        <v>65</v>
      </c>
      <c r="E116" t="s">
        <v>133</v>
      </c>
      <c r="F116">
        <v>37.700000000000003</v>
      </c>
      <c r="G116">
        <v>93</v>
      </c>
      <c r="H116" t="s">
        <v>133</v>
      </c>
      <c r="I116">
        <v>39.200000000000003</v>
      </c>
      <c r="J116">
        <v>95</v>
      </c>
      <c r="K116" t="s">
        <v>133</v>
      </c>
      <c r="L116">
        <v>55.04</v>
      </c>
      <c r="M116">
        <v>93</v>
      </c>
      <c r="N116" t="s">
        <v>133</v>
      </c>
      <c r="O116">
        <v>64.19</v>
      </c>
      <c r="P116">
        <v>112</v>
      </c>
      <c r="Q116" t="s">
        <v>133</v>
      </c>
      <c r="R116">
        <v>50.32</v>
      </c>
      <c r="S116">
        <v>88</v>
      </c>
      <c r="U116">
        <f t="shared" si="9"/>
        <v>37.700000000000003</v>
      </c>
      <c r="V116">
        <f t="shared" si="10"/>
        <v>64.19</v>
      </c>
      <c r="W116">
        <f t="shared" si="11"/>
        <v>48.975000000000001</v>
      </c>
      <c r="X116">
        <f t="shared" si="12"/>
        <v>50.945</v>
      </c>
      <c r="Y116">
        <f t="shared" si="13"/>
        <v>1.9699999999999989</v>
      </c>
      <c r="AA116">
        <f t="shared" si="14"/>
        <v>3.9399999999999977</v>
      </c>
      <c r="AB116">
        <f t="shared" si="15"/>
        <v>26.489999999999995</v>
      </c>
      <c r="AE116">
        <f t="shared" si="16"/>
        <v>0.14873537183842953</v>
      </c>
      <c r="AG116">
        <f t="shared" si="17"/>
        <v>0.14873537183842953</v>
      </c>
    </row>
    <row r="117" spans="1:33" x14ac:dyDescent="0.35">
      <c r="A117" s="1">
        <v>116</v>
      </c>
      <c r="B117" t="s">
        <v>134</v>
      </c>
      <c r="C117">
        <v>40</v>
      </c>
      <c r="D117">
        <v>103</v>
      </c>
      <c r="E117" t="s">
        <v>134</v>
      </c>
      <c r="F117">
        <v>37.700000000000003</v>
      </c>
      <c r="G117">
        <v>93</v>
      </c>
      <c r="H117" t="s">
        <v>134</v>
      </c>
      <c r="I117">
        <v>30.8</v>
      </c>
      <c r="J117">
        <v>128</v>
      </c>
      <c r="K117" t="s">
        <v>134</v>
      </c>
      <c r="L117">
        <v>35.74</v>
      </c>
      <c r="M117">
        <v>163</v>
      </c>
      <c r="N117" t="s">
        <v>134</v>
      </c>
      <c r="O117">
        <v>37.479999999999997</v>
      </c>
      <c r="P117">
        <v>169</v>
      </c>
      <c r="Q117" t="s">
        <v>134</v>
      </c>
      <c r="R117">
        <v>36.28</v>
      </c>
      <c r="S117">
        <v>139</v>
      </c>
      <c r="U117">
        <f t="shared" si="9"/>
        <v>30.8</v>
      </c>
      <c r="V117">
        <f t="shared" si="10"/>
        <v>40</v>
      </c>
      <c r="W117">
        <f t="shared" si="11"/>
        <v>36.333333333333336</v>
      </c>
      <c r="X117">
        <f t="shared" si="12"/>
        <v>35.4</v>
      </c>
      <c r="Y117">
        <f t="shared" si="13"/>
        <v>-0.93333333333333712</v>
      </c>
      <c r="AA117">
        <f t="shared" si="14"/>
        <v>-1.8666666666666742</v>
      </c>
      <c r="AB117">
        <f t="shared" si="15"/>
        <v>9.1999999999999993</v>
      </c>
      <c r="AE117">
        <f t="shared" si="16"/>
        <v>-0.20289855072463853</v>
      </c>
      <c r="AG117">
        <f t="shared" si="17"/>
        <v>0.20289855072463853</v>
      </c>
    </row>
    <row r="118" spans="1:33" x14ac:dyDescent="0.35">
      <c r="A118" s="1">
        <v>117</v>
      </c>
      <c r="B118" t="s">
        <v>135</v>
      </c>
      <c r="C118">
        <v>37.9</v>
      </c>
      <c r="D118">
        <v>113</v>
      </c>
      <c r="E118" t="s">
        <v>135</v>
      </c>
      <c r="F118">
        <v>28.3</v>
      </c>
      <c r="G118">
        <v>130</v>
      </c>
      <c r="H118" t="s">
        <v>135</v>
      </c>
      <c r="I118">
        <v>31</v>
      </c>
      <c r="J118">
        <v>127</v>
      </c>
      <c r="K118" t="s">
        <v>135</v>
      </c>
      <c r="L118">
        <v>54.76</v>
      </c>
      <c r="M118">
        <v>96</v>
      </c>
      <c r="N118" t="s">
        <v>135</v>
      </c>
      <c r="O118">
        <v>58.27</v>
      </c>
      <c r="P118">
        <v>128</v>
      </c>
      <c r="Q118" t="s">
        <v>135</v>
      </c>
      <c r="R118">
        <v>39.200000000000003</v>
      </c>
      <c r="S118">
        <v>131</v>
      </c>
      <c r="U118">
        <f t="shared" si="9"/>
        <v>28.3</v>
      </c>
      <c r="V118">
        <f t="shared" si="10"/>
        <v>58.27</v>
      </c>
      <c r="W118">
        <f t="shared" si="11"/>
        <v>41.571666666666665</v>
      </c>
      <c r="X118">
        <f t="shared" si="12"/>
        <v>43.285000000000004</v>
      </c>
      <c r="Y118">
        <f t="shared" si="13"/>
        <v>1.7133333333333383</v>
      </c>
      <c r="AA118">
        <f t="shared" si="14"/>
        <v>3.4266666666666765</v>
      </c>
      <c r="AB118">
        <f t="shared" si="15"/>
        <v>29.970000000000002</v>
      </c>
      <c r="AE118">
        <f t="shared" si="16"/>
        <v>0.11433655878100354</v>
      </c>
      <c r="AG118">
        <f t="shared" si="17"/>
        <v>0.11433655878100354</v>
      </c>
    </row>
    <row r="119" spans="1:33" x14ac:dyDescent="0.35">
      <c r="A119" s="1">
        <v>118</v>
      </c>
      <c r="B119" t="s">
        <v>136</v>
      </c>
      <c r="C119">
        <v>50.3</v>
      </c>
      <c r="D119">
        <v>50</v>
      </c>
      <c r="E119" t="s">
        <v>136</v>
      </c>
      <c r="F119">
        <v>54.3</v>
      </c>
      <c r="G119">
        <v>33</v>
      </c>
      <c r="H119" t="s">
        <v>136</v>
      </c>
      <c r="I119">
        <v>55.4</v>
      </c>
      <c r="J119">
        <v>41</v>
      </c>
      <c r="K119" t="s">
        <v>136</v>
      </c>
      <c r="L119">
        <v>61.06</v>
      </c>
      <c r="M119">
        <v>66</v>
      </c>
      <c r="N119" t="s">
        <v>136</v>
      </c>
      <c r="O119">
        <v>78.02</v>
      </c>
      <c r="P119">
        <v>50</v>
      </c>
      <c r="Q119" t="s">
        <v>136</v>
      </c>
      <c r="R119">
        <v>50.41</v>
      </c>
      <c r="S119">
        <v>87</v>
      </c>
      <c r="U119">
        <f t="shared" si="9"/>
        <v>50.3</v>
      </c>
      <c r="V119">
        <f t="shared" si="10"/>
        <v>78.02</v>
      </c>
      <c r="W119">
        <f t="shared" si="11"/>
        <v>58.248333333333335</v>
      </c>
      <c r="X119">
        <f t="shared" si="12"/>
        <v>64.16</v>
      </c>
      <c r="Y119">
        <f t="shared" si="13"/>
        <v>5.9116666666666617</v>
      </c>
      <c r="AA119">
        <f t="shared" si="14"/>
        <v>11.823333333333323</v>
      </c>
      <c r="AB119">
        <f t="shared" si="15"/>
        <v>27.72</v>
      </c>
      <c r="AE119">
        <f t="shared" si="16"/>
        <v>0.4265271765271762</v>
      </c>
      <c r="AG119">
        <f t="shared" si="17"/>
        <v>0.4265271765271762</v>
      </c>
    </row>
    <row r="120" spans="1:33" x14ac:dyDescent="0.35">
      <c r="A120" s="1">
        <v>119</v>
      </c>
      <c r="B120" t="s">
        <v>137</v>
      </c>
      <c r="C120">
        <v>69.900000000000006</v>
      </c>
      <c r="D120">
        <v>7</v>
      </c>
      <c r="E120" t="s">
        <v>137</v>
      </c>
      <c r="F120">
        <v>59.3</v>
      </c>
      <c r="G120">
        <v>20</v>
      </c>
      <c r="H120" t="s">
        <v>137</v>
      </c>
      <c r="I120">
        <v>77.7</v>
      </c>
      <c r="J120">
        <v>9</v>
      </c>
      <c r="K120" t="s">
        <v>137</v>
      </c>
      <c r="L120">
        <v>77.489999999999995</v>
      </c>
      <c r="M120">
        <v>14</v>
      </c>
      <c r="N120" t="s">
        <v>137</v>
      </c>
      <c r="O120">
        <v>86.9</v>
      </c>
      <c r="P120">
        <v>17</v>
      </c>
      <c r="Q120" t="s">
        <v>137</v>
      </c>
      <c r="R120">
        <v>78.040000000000006</v>
      </c>
      <c r="S120">
        <v>10</v>
      </c>
      <c r="U120">
        <f t="shared" si="9"/>
        <v>59.3</v>
      </c>
      <c r="V120">
        <f t="shared" si="10"/>
        <v>86.9</v>
      </c>
      <c r="W120">
        <f t="shared" si="11"/>
        <v>74.888333333333335</v>
      </c>
      <c r="X120">
        <f t="shared" si="12"/>
        <v>73.099999999999994</v>
      </c>
      <c r="Y120">
        <f t="shared" si="13"/>
        <v>-1.7883333333333411</v>
      </c>
      <c r="AA120">
        <f t="shared" si="14"/>
        <v>-3.5766666666666822</v>
      </c>
      <c r="AB120">
        <f t="shared" si="15"/>
        <v>27.600000000000009</v>
      </c>
      <c r="AE120">
        <f t="shared" si="16"/>
        <v>-0.12958937198067685</v>
      </c>
      <c r="AG120">
        <f t="shared" si="17"/>
        <v>0.12958937198067685</v>
      </c>
    </row>
    <row r="121" spans="1:33" x14ac:dyDescent="0.35">
      <c r="A121" s="1">
        <v>120</v>
      </c>
      <c r="B121" t="s">
        <v>138</v>
      </c>
      <c r="C121">
        <v>51.3</v>
      </c>
      <c r="D121">
        <v>48</v>
      </c>
      <c r="E121" t="s">
        <v>138</v>
      </c>
      <c r="F121">
        <v>30.7</v>
      </c>
      <c r="G121">
        <v>122</v>
      </c>
      <c r="H121" t="s">
        <v>138</v>
      </c>
      <c r="I121">
        <v>38.5</v>
      </c>
      <c r="J121">
        <v>97</v>
      </c>
      <c r="K121" t="s">
        <v>138</v>
      </c>
      <c r="L121">
        <v>51.32</v>
      </c>
      <c r="M121">
        <v>109</v>
      </c>
      <c r="N121" t="s">
        <v>138</v>
      </c>
      <c r="O121">
        <v>60.13</v>
      </c>
      <c r="P121">
        <v>121</v>
      </c>
      <c r="Q121" t="s">
        <v>138</v>
      </c>
      <c r="R121">
        <v>47.75</v>
      </c>
      <c r="S121">
        <v>97</v>
      </c>
      <c r="U121">
        <f t="shared" si="9"/>
        <v>30.7</v>
      </c>
      <c r="V121">
        <f t="shared" si="10"/>
        <v>60.13</v>
      </c>
      <c r="W121">
        <f t="shared" si="11"/>
        <v>46.616666666666667</v>
      </c>
      <c r="X121">
        <f t="shared" si="12"/>
        <v>45.414999999999999</v>
      </c>
      <c r="Y121">
        <f t="shared" si="13"/>
        <v>-1.201666666666668</v>
      </c>
      <c r="AA121">
        <f t="shared" si="14"/>
        <v>-2.403333333333336</v>
      </c>
      <c r="AB121">
        <f t="shared" si="15"/>
        <v>29.430000000000003</v>
      </c>
      <c r="AE121">
        <f t="shared" si="16"/>
        <v>-8.1662702457809572E-2</v>
      </c>
      <c r="AG121">
        <f t="shared" si="17"/>
        <v>8.1662702457809572E-2</v>
      </c>
    </row>
    <row r="122" spans="1:33" x14ac:dyDescent="0.35">
      <c r="A122" s="1">
        <v>121</v>
      </c>
      <c r="B122" t="s">
        <v>139</v>
      </c>
      <c r="C122">
        <v>25.5</v>
      </c>
      <c r="D122">
        <v>146</v>
      </c>
      <c r="E122" t="s">
        <v>139</v>
      </c>
      <c r="F122">
        <v>24.6</v>
      </c>
      <c r="G122">
        <v>141</v>
      </c>
      <c r="H122" t="s">
        <v>139</v>
      </c>
      <c r="I122">
        <v>33.1</v>
      </c>
      <c r="J122">
        <v>119</v>
      </c>
      <c r="K122" t="s">
        <v>139</v>
      </c>
      <c r="L122">
        <v>37.5</v>
      </c>
      <c r="M122">
        <v>160</v>
      </c>
      <c r="N122" t="s">
        <v>139</v>
      </c>
      <c r="O122">
        <v>51.42</v>
      </c>
      <c r="P122">
        <v>138</v>
      </c>
      <c r="Q122" t="s">
        <v>139</v>
      </c>
      <c r="R122">
        <v>34.58</v>
      </c>
      <c r="S122">
        <v>145</v>
      </c>
      <c r="U122">
        <f t="shared" si="9"/>
        <v>24.6</v>
      </c>
      <c r="V122">
        <f t="shared" si="10"/>
        <v>51.42</v>
      </c>
      <c r="W122">
        <f t="shared" si="11"/>
        <v>34.449999999999996</v>
      </c>
      <c r="X122">
        <f t="shared" si="12"/>
        <v>38.010000000000005</v>
      </c>
      <c r="Y122">
        <f t="shared" si="13"/>
        <v>3.5600000000000094</v>
      </c>
      <c r="AA122">
        <f t="shared" si="14"/>
        <v>7.1200000000000188</v>
      </c>
      <c r="AB122">
        <f t="shared" si="15"/>
        <v>26.82</v>
      </c>
      <c r="AE122">
        <f t="shared" si="16"/>
        <v>0.26547352721849438</v>
      </c>
      <c r="AG122">
        <f t="shared" si="17"/>
        <v>0.26547352721849438</v>
      </c>
    </row>
    <row r="123" spans="1:33" x14ac:dyDescent="0.35">
      <c r="A123" s="1">
        <v>122</v>
      </c>
      <c r="B123" t="s">
        <v>140</v>
      </c>
      <c r="C123">
        <v>52.9</v>
      </c>
      <c r="D123">
        <v>44</v>
      </c>
      <c r="E123" t="s">
        <v>140</v>
      </c>
      <c r="F123">
        <v>50.5</v>
      </c>
      <c r="G123">
        <v>42</v>
      </c>
      <c r="H123" t="s">
        <v>140</v>
      </c>
      <c r="I123">
        <v>47.3</v>
      </c>
      <c r="J123">
        <v>66</v>
      </c>
      <c r="K123" t="s">
        <v>140</v>
      </c>
      <c r="L123">
        <v>62.71</v>
      </c>
      <c r="M123">
        <v>54</v>
      </c>
      <c r="N123" t="s">
        <v>140</v>
      </c>
      <c r="O123">
        <v>78</v>
      </c>
      <c r="P123">
        <v>51</v>
      </c>
      <c r="Q123" t="s">
        <v>140</v>
      </c>
      <c r="R123">
        <v>56.84</v>
      </c>
      <c r="S123">
        <v>58</v>
      </c>
      <c r="U123">
        <f t="shared" si="9"/>
        <v>47.3</v>
      </c>
      <c r="V123">
        <f t="shared" si="10"/>
        <v>78</v>
      </c>
      <c r="W123">
        <f t="shared" si="11"/>
        <v>58.041666666666664</v>
      </c>
      <c r="X123">
        <f t="shared" si="12"/>
        <v>62.65</v>
      </c>
      <c r="Y123">
        <f t="shared" si="13"/>
        <v>4.6083333333333343</v>
      </c>
      <c r="AA123">
        <f t="shared" si="14"/>
        <v>9.2166666666666686</v>
      </c>
      <c r="AB123">
        <f t="shared" si="15"/>
        <v>30.700000000000003</v>
      </c>
      <c r="AE123">
        <f t="shared" si="16"/>
        <v>0.30021715526601522</v>
      </c>
      <c r="AG123">
        <f t="shared" si="17"/>
        <v>0.30021715526601522</v>
      </c>
    </row>
    <row r="124" spans="1:33" x14ac:dyDescent="0.35">
      <c r="A124" s="1">
        <v>123</v>
      </c>
      <c r="B124" t="s">
        <v>141</v>
      </c>
      <c r="C124">
        <v>36.9</v>
      </c>
      <c r="D124">
        <v>117</v>
      </c>
      <c r="E124" t="s">
        <v>141</v>
      </c>
      <c r="F124">
        <v>24.8</v>
      </c>
      <c r="G124">
        <v>140</v>
      </c>
      <c r="H124" t="s">
        <v>141</v>
      </c>
      <c r="I124">
        <v>32.4</v>
      </c>
      <c r="J124">
        <v>122</v>
      </c>
      <c r="K124" t="s">
        <v>141</v>
      </c>
      <c r="L124">
        <v>39.35</v>
      </c>
      <c r="M124">
        <v>155</v>
      </c>
      <c r="N124" t="s">
        <v>141</v>
      </c>
      <c r="O124">
        <v>48.02</v>
      </c>
      <c r="P124">
        <v>148</v>
      </c>
      <c r="Q124" t="s">
        <v>141</v>
      </c>
      <c r="R124">
        <v>41.09</v>
      </c>
      <c r="S124">
        <v>119</v>
      </c>
      <c r="U124">
        <f t="shared" si="9"/>
        <v>24.8</v>
      </c>
      <c r="V124">
        <f t="shared" si="10"/>
        <v>48.02</v>
      </c>
      <c r="W124">
        <f t="shared" si="11"/>
        <v>37.093333333333334</v>
      </c>
      <c r="X124">
        <f t="shared" si="12"/>
        <v>36.410000000000004</v>
      </c>
      <c r="Y124">
        <f t="shared" si="13"/>
        <v>-0.68333333333333002</v>
      </c>
      <c r="AA124">
        <f t="shared" si="14"/>
        <v>-1.36666666666666</v>
      </c>
      <c r="AB124">
        <f t="shared" si="15"/>
        <v>23.220000000000002</v>
      </c>
      <c r="AE124">
        <f t="shared" si="16"/>
        <v>-5.885730691932213E-2</v>
      </c>
      <c r="AG124">
        <f t="shared" si="17"/>
        <v>5.885730691932213E-2</v>
      </c>
    </row>
    <row r="125" spans="1:33" x14ac:dyDescent="0.35">
      <c r="A125" s="1">
        <v>124</v>
      </c>
      <c r="B125" t="s">
        <v>142</v>
      </c>
      <c r="C125">
        <v>39.5</v>
      </c>
      <c r="D125">
        <v>105</v>
      </c>
      <c r="E125" t="s">
        <v>142</v>
      </c>
      <c r="F125">
        <v>40.9</v>
      </c>
      <c r="G125">
        <v>78</v>
      </c>
      <c r="H125" t="s">
        <v>142</v>
      </c>
      <c r="I125">
        <v>46.4</v>
      </c>
      <c r="J125">
        <v>69</v>
      </c>
      <c r="K125" t="s">
        <v>142</v>
      </c>
      <c r="L125">
        <v>53.93</v>
      </c>
      <c r="M125">
        <v>99</v>
      </c>
      <c r="N125" t="s">
        <v>142</v>
      </c>
      <c r="O125">
        <v>70.36</v>
      </c>
      <c r="P125">
        <v>82</v>
      </c>
      <c r="Q125" t="s">
        <v>142</v>
      </c>
      <c r="R125">
        <v>39.25</v>
      </c>
      <c r="S125">
        <v>130</v>
      </c>
      <c r="U125">
        <f t="shared" si="9"/>
        <v>39.25</v>
      </c>
      <c r="V125">
        <f t="shared" si="10"/>
        <v>70.36</v>
      </c>
      <c r="W125">
        <f t="shared" si="11"/>
        <v>48.390000000000008</v>
      </c>
      <c r="X125">
        <f t="shared" si="12"/>
        <v>54.805</v>
      </c>
      <c r="Y125">
        <f t="shared" si="13"/>
        <v>6.414999999999992</v>
      </c>
      <c r="AA125">
        <f t="shared" si="14"/>
        <v>12.829999999999984</v>
      </c>
      <c r="AB125">
        <f t="shared" si="15"/>
        <v>31.11</v>
      </c>
      <c r="AE125">
        <f t="shared" si="16"/>
        <v>0.41240758598521327</v>
      </c>
      <c r="AG125">
        <f t="shared" si="17"/>
        <v>0.41240758598521327</v>
      </c>
    </row>
    <row r="126" spans="1:33" x14ac:dyDescent="0.35">
      <c r="A126" s="1">
        <v>125</v>
      </c>
      <c r="B126" t="s">
        <v>143</v>
      </c>
      <c r="C126">
        <v>46.5</v>
      </c>
      <c r="D126">
        <v>70</v>
      </c>
      <c r="E126" t="s">
        <v>143</v>
      </c>
      <c r="F126">
        <v>39.799999999999997</v>
      </c>
      <c r="G126">
        <v>84</v>
      </c>
      <c r="H126" t="s">
        <v>143</v>
      </c>
      <c r="I126">
        <v>44</v>
      </c>
      <c r="J126">
        <v>81</v>
      </c>
      <c r="K126" t="s">
        <v>143</v>
      </c>
      <c r="L126">
        <v>61.92</v>
      </c>
      <c r="M126">
        <v>62</v>
      </c>
      <c r="N126" t="s">
        <v>143</v>
      </c>
      <c r="O126">
        <v>72.95</v>
      </c>
      <c r="P126">
        <v>73</v>
      </c>
      <c r="Q126" t="s">
        <v>143</v>
      </c>
      <c r="R126">
        <v>45.05</v>
      </c>
      <c r="S126">
        <v>108</v>
      </c>
      <c r="U126">
        <f t="shared" si="9"/>
        <v>39.799999999999997</v>
      </c>
      <c r="V126">
        <f t="shared" si="10"/>
        <v>72.95</v>
      </c>
      <c r="W126">
        <f t="shared" si="11"/>
        <v>51.70333333333334</v>
      </c>
      <c r="X126">
        <f t="shared" si="12"/>
        <v>56.375</v>
      </c>
      <c r="Y126">
        <f t="shared" si="13"/>
        <v>4.6716666666666598</v>
      </c>
      <c r="AA126">
        <f t="shared" si="14"/>
        <v>9.3433333333333195</v>
      </c>
      <c r="AB126">
        <f t="shared" si="15"/>
        <v>33.150000000000006</v>
      </c>
      <c r="AE126">
        <f t="shared" si="16"/>
        <v>0.28185017596782258</v>
      </c>
      <c r="AG126">
        <f t="shared" si="17"/>
        <v>0.28185017596782258</v>
      </c>
    </row>
    <row r="127" spans="1:33" x14ac:dyDescent="0.35">
      <c r="A127" s="1">
        <v>126</v>
      </c>
      <c r="B127" t="s">
        <v>144</v>
      </c>
      <c r="C127">
        <v>32.1</v>
      </c>
      <c r="D127">
        <v>136</v>
      </c>
      <c r="E127" t="s">
        <v>144</v>
      </c>
      <c r="F127">
        <v>28.9</v>
      </c>
      <c r="G127">
        <v>127</v>
      </c>
      <c r="H127" t="s">
        <v>144</v>
      </c>
      <c r="I127">
        <v>38.4</v>
      </c>
      <c r="J127">
        <v>98</v>
      </c>
      <c r="K127" t="s">
        <v>144</v>
      </c>
      <c r="L127">
        <v>57.65</v>
      </c>
      <c r="M127">
        <v>80</v>
      </c>
      <c r="N127" t="s">
        <v>144</v>
      </c>
      <c r="O127">
        <v>73.7</v>
      </c>
      <c r="P127">
        <v>66</v>
      </c>
      <c r="Q127" t="s">
        <v>144</v>
      </c>
      <c r="R127">
        <v>44.02</v>
      </c>
      <c r="S127">
        <v>112</v>
      </c>
      <c r="U127">
        <f t="shared" si="9"/>
        <v>28.9</v>
      </c>
      <c r="V127">
        <f t="shared" si="10"/>
        <v>73.7</v>
      </c>
      <c r="W127">
        <f t="shared" si="11"/>
        <v>45.794999999999995</v>
      </c>
      <c r="X127">
        <f t="shared" si="12"/>
        <v>51.3</v>
      </c>
      <c r="Y127">
        <f t="shared" si="13"/>
        <v>5.5050000000000026</v>
      </c>
      <c r="AA127">
        <f t="shared" si="14"/>
        <v>11.010000000000005</v>
      </c>
      <c r="AB127">
        <f t="shared" si="15"/>
        <v>44.800000000000004</v>
      </c>
      <c r="AE127">
        <f t="shared" si="16"/>
        <v>0.24575892857142867</v>
      </c>
      <c r="AG127">
        <f t="shared" si="17"/>
        <v>0.24575892857142867</v>
      </c>
    </row>
    <row r="128" spans="1:33" x14ac:dyDescent="0.35">
      <c r="A128" s="1">
        <v>127</v>
      </c>
      <c r="B128" t="s">
        <v>145</v>
      </c>
      <c r="C128">
        <v>64.2</v>
      </c>
      <c r="D128">
        <v>19</v>
      </c>
      <c r="E128" t="s">
        <v>145</v>
      </c>
      <c r="F128">
        <v>50.6</v>
      </c>
      <c r="G128">
        <v>41</v>
      </c>
      <c r="H128" t="s">
        <v>145</v>
      </c>
      <c r="I128">
        <v>60.9</v>
      </c>
      <c r="J128">
        <v>35</v>
      </c>
      <c r="K128" t="s">
        <v>145</v>
      </c>
      <c r="L128">
        <v>64.11</v>
      </c>
      <c r="M128">
        <v>48</v>
      </c>
      <c r="N128" t="s">
        <v>145</v>
      </c>
      <c r="O128">
        <v>81.260000000000005</v>
      </c>
      <c r="P128">
        <v>38</v>
      </c>
      <c r="Q128" t="s">
        <v>145</v>
      </c>
      <c r="R128">
        <v>69.53</v>
      </c>
      <c r="S128">
        <v>30</v>
      </c>
      <c r="U128">
        <f t="shared" si="9"/>
        <v>50.6</v>
      </c>
      <c r="V128">
        <f t="shared" si="10"/>
        <v>81.260000000000005</v>
      </c>
      <c r="W128">
        <f t="shared" si="11"/>
        <v>65.100000000000009</v>
      </c>
      <c r="X128">
        <f t="shared" si="12"/>
        <v>65.930000000000007</v>
      </c>
      <c r="Y128">
        <f t="shared" si="13"/>
        <v>0.82999999999999829</v>
      </c>
      <c r="AA128">
        <f t="shared" si="14"/>
        <v>1.6599999999999966</v>
      </c>
      <c r="AB128">
        <f t="shared" si="15"/>
        <v>30.660000000000004</v>
      </c>
      <c r="AE128">
        <f t="shared" si="16"/>
        <v>5.4142204827136213E-2</v>
      </c>
      <c r="AG128">
        <f t="shared" si="17"/>
        <v>5.4142204827136213E-2</v>
      </c>
    </row>
    <row r="129" spans="1:33" x14ac:dyDescent="0.35">
      <c r="A129" s="1">
        <v>128</v>
      </c>
      <c r="B129" t="s">
        <v>146</v>
      </c>
      <c r="C129">
        <v>61.9</v>
      </c>
      <c r="D129">
        <v>25</v>
      </c>
      <c r="E129" t="s">
        <v>146</v>
      </c>
      <c r="F129">
        <v>50.4</v>
      </c>
      <c r="G129">
        <v>43</v>
      </c>
      <c r="H129" t="s">
        <v>146</v>
      </c>
      <c r="I129">
        <v>67</v>
      </c>
      <c r="J129">
        <v>25</v>
      </c>
      <c r="K129" t="s">
        <v>146</v>
      </c>
      <c r="L129">
        <v>71.91</v>
      </c>
      <c r="M129">
        <v>26</v>
      </c>
      <c r="N129" t="s">
        <v>146</v>
      </c>
      <c r="O129">
        <v>88.63</v>
      </c>
      <c r="P129">
        <v>7</v>
      </c>
      <c r="Q129" t="s">
        <v>146</v>
      </c>
      <c r="R129">
        <v>75.8</v>
      </c>
      <c r="S129">
        <v>17</v>
      </c>
      <c r="U129">
        <f t="shared" si="9"/>
        <v>50.4</v>
      </c>
      <c r="V129">
        <f t="shared" si="10"/>
        <v>88.63</v>
      </c>
      <c r="W129">
        <f t="shared" si="11"/>
        <v>69.273333333333341</v>
      </c>
      <c r="X129">
        <f t="shared" si="12"/>
        <v>69.515000000000001</v>
      </c>
      <c r="Y129">
        <f t="shared" si="13"/>
        <v>0.24166666666666003</v>
      </c>
      <c r="AA129">
        <f t="shared" si="14"/>
        <v>0.48333333333332007</v>
      </c>
      <c r="AB129">
        <f t="shared" si="15"/>
        <v>38.229999999999997</v>
      </c>
      <c r="AE129">
        <f t="shared" si="16"/>
        <v>1.2642776179265501E-2</v>
      </c>
      <c r="AG129">
        <f t="shared" si="17"/>
        <v>1.2642776179265501E-2</v>
      </c>
    </row>
    <row r="130" spans="1:33" x14ac:dyDescent="0.35">
      <c r="A130" s="1">
        <v>129</v>
      </c>
      <c r="B130" t="s">
        <v>147</v>
      </c>
      <c r="C130">
        <v>46.8</v>
      </c>
      <c r="D130">
        <v>68</v>
      </c>
      <c r="E130" t="s">
        <v>147</v>
      </c>
      <c r="F130">
        <v>33</v>
      </c>
      <c r="G130">
        <v>112</v>
      </c>
      <c r="H130" t="s">
        <v>147</v>
      </c>
      <c r="I130">
        <v>37.1</v>
      </c>
      <c r="J130">
        <v>105</v>
      </c>
      <c r="K130" t="s">
        <v>147</v>
      </c>
      <c r="L130">
        <v>67.8</v>
      </c>
      <c r="M130">
        <v>31</v>
      </c>
      <c r="N130" t="s">
        <v>147</v>
      </c>
      <c r="O130">
        <v>69.94</v>
      </c>
      <c r="P130">
        <v>86</v>
      </c>
      <c r="Q130" t="s">
        <v>147</v>
      </c>
      <c r="R130">
        <v>63.03</v>
      </c>
      <c r="S130">
        <v>44</v>
      </c>
      <c r="U130">
        <f t="shared" si="9"/>
        <v>33</v>
      </c>
      <c r="V130">
        <f t="shared" si="10"/>
        <v>69.94</v>
      </c>
      <c r="W130">
        <f t="shared" si="11"/>
        <v>52.944999999999993</v>
      </c>
      <c r="X130">
        <f t="shared" si="12"/>
        <v>51.47</v>
      </c>
      <c r="Y130">
        <f t="shared" si="13"/>
        <v>-1.4749999999999943</v>
      </c>
      <c r="AA130">
        <f t="shared" si="14"/>
        <v>-2.9499999999999886</v>
      </c>
      <c r="AB130">
        <f t="shared" si="15"/>
        <v>36.94</v>
      </c>
      <c r="AE130">
        <f t="shared" si="16"/>
        <v>-7.9859231185706245E-2</v>
      </c>
      <c r="AG130">
        <f t="shared" si="17"/>
        <v>7.9859231185706245E-2</v>
      </c>
    </row>
    <row r="131" spans="1:33" x14ac:dyDescent="0.35">
      <c r="A131" s="1">
        <v>130</v>
      </c>
      <c r="B131" t="s">
        <v>148</v>
      </c>
      <c r="C131">
        <v>41.6</v>
      </c>
      <c r="D131">
        <v>96</v>
      </c>
      <c r="E131" t="s">
        <v>148</v>
      </c>
      <c r="F131">
        <v>40.1</v>
      </c>
      <c r="G131">
        <v>83</v>
      </c>
      <c r="H131" t="s">
        <v>148</v>
      </c>
      <c r="I131">
        <v>30.8</v>
      </c>
      <c r="J131">
        <v>128</v>
      </c>
      <c r="K131" t="s">
        <v>148</v>
      </c>
      <c r="L131">
        <v>42.39</v>
      </c>
      <c r="M131">
        <v>148</v>
      </c>
      <c r="N131" t="s">
        <v>148</v>
      </c>
      <c r="O131">
        <v>59.56</v>
      </c>
      <c r="P131">
        <v>123</v>
      </c>
      <c r="Q131" t="s">
        <v>148</v>
      </c>
      <c r="R131">
        <v>39.44</v>
      </c>
      <c r="S131">
        <v>127</v>
      </c>
      <c r="U131">
        <f t="shared" ref="U131:U174" si="18">MIN(C131,F131,I131,L131,O131,R131)</f>
        <v>30.8</v>
      </c>
      <c r="V131">
        <f t="shared" ref="V131:V174" si="19">MAX(C131,F131,I131,L131,O131,R131)</f>
        <v>59.56</v>
      </c>
      <c r="W131">
        <f t="shared" ref="W131:W174" si="20">AVERAGE(C131,F131,I131,L131,O131,R131)</f>
        <v>42.314999999999998</v>
      </c>
      <c r="X131">
        <f t="shared" ref="X131:X174" si="21">AVERAGE(U131:V131)</f>
        <v>45.18</v>
      </c>
      <c r="Y131">
        <f t="shared" ref="Y131:Y174" si="22">X131-W131</f>
        <v>2.865000000000002</v>
      </c>
      <c r="AA131">
        <f t="shared" ref="AA131:AA174" si="23">U131+V131-2*W131</f>
        <v>5.730000000000004</v>
      </c>
      <c r="AB131">
        <f t="shared" ref="AB131:AB174" si="24">V131-U131</f>
        <v>28.76</v>
      </c>
      <c r="AE131">
        <f t="shared" ref="AE131:AE174" si="25">AA131/AB131</f>
        <v>0.19923504867872058</v>
      </c>
      <c r="AG131">
        <f t="shared" ref="AG131:AG174" si="26">IF(AE131&lt;0,-AE131,AE131)</f>
        <v>0.19923504867872058</v>
      </c>
    </row>
    <row r="132" spans="1:33" x14ac:dyDescent="0.35">
      <c r="A132" s="1">
        <v>131</v>
      </c>
      <c r="B132" t="s">
        <v>149</v>
      </c>
      <c r="C132">
        <v>57.3</v>
      </c>
      <c r="D132">
        <v>32</v>
      </c>
      <c r="E132" t="s">
        <v>149</v>
      </c>
      <c r="F132">
        <v>56</v>
      </c>
      <c r="G132">
        <v>29</v>
      </c>
      <c r="H132" t="s">
        <v>149</v>
      </c>
      <c r="I132">
        <v>64.7</v>
      </c>
      <c r="J132">
        <v>30</v>
      </c>
      <c r="K132" t="s">
        <v>149</v>
      </c>
      <c r="L132">
        <v>64.78</v>
      </c>
      <c r="M132">
        <v>43</v>
      </c>
      <c r="N132" t="s">
        <v>149</v>
      </c>
      <c r="O132">
        <v>83.24</v>
      </c>
      <c r="P132">
        <v>34</v>
      </c>
      <c r="Q132" t="s">
        <v>149</v>
      </c>
      <c r="R132">
        <v>50.52</v>
      </c>
      <c r="S132">
        <v>84</v>
      </c>
      <c r="U132">
        <f t="shared" si="18"/>
        <v>50.52</v>
      </c>
      <c r="V132">
        <f t="shared" si="19"/>
        <v>83.24</v>
      </c>
      <c r="W132">
        <f t="shared" si="20"/>
        <v>62.756666666666661</v>
      </c>
      <c r="X132">
        <f t="shared" si="21"/>
        <v>66.88</v>
      </c>
      <c r="Y132">
        <f t="shared" si="22"/>
        <v>4.1233333333333348</v>
      </c>
      <c r="AA132">
        <f t="shared" si="23"/>
        <v>8.2466666666666697</v>
      </c>
      <c r="AB132">
        <f t="shared" si="24"/>
        <v>32.719999999999992</v>
      </c>
      <c r="AE132">
        <f t="shared" si="25"/>
        <v>0.25203748981255109</v>
      </c>
      <c r="AG132">
        <f t="shared" si="26"/>
        <v>0.25203748981255109</v>
      </c>
    </row>
    <row r="133" spans="1:33" x14ac:dyDescent="0.35">
      <c r="A133" s="1">
        <v>132</v>
      </c>
      <c r="B133" t="s">
        <v>150</v>
      </c>
      <c r="C133">
        <v>46.7</v>
      </c>
      <c r="D133">
        <v>69</v>
      </c>
      <c r="E133" t="s">
        <v>150</v>
      </c>
      <c r="F133">
        <v>37.5</v>
      </c>
      <c r="G133">
        <v>94</v>
      </c>
      <c r="H133" t="s">
        <v>150</v>
      </c>
      <c r="I133">
        <v>50.5</v>
      </c>
      <c r="J133">
        <v>55</v>
      </c>
      <c r="K133" t="s">
        <v>150</v>
      </c>
      <c r="L133">
        <v>63.79</v>
      </c>
      <c r="M133">
        <v>50</v>
      </c>
      <c r="N133" t="s">
        <v>150</v>
      </c>
      <c r="O133">
        <v>83.52</v>
      </c>
      <c r="P133">
        <v>32</v>
      </c>
      <c r="Q133" t="s">
        <v>150</v>
      </c>
      <c r="R133">
        <v>53.45</v>
      </c>
      <c r="S133">
        <v>72</v>
      </c>
      <c r="U133">
        <f t="shared" si="18"/>
        <v>37.5</v>
      </c>
      <c r="V133">
        <f t="shared" si="19"/>
        <v>83.52</v>
      </c>
      <c r="W133">
        <f t="shared" si="20"/>
        <v>55.91</v>
      </c>
      <c r="X133">
        <f t="shared" si="21"/>
        <v>60.51</v>
      </c>
      <c r="Y133">
        <f t="shared" si="22"/>
        <v>4.6000000000000014</v>
      </c>
      <c r="AA133">
        <f t="shared" si="23"/>
        <v>9.2000000000000028</v>
      </c>
      <c r="AB133">
        <f t="shared" si="24"/>
        <v>46.019999999999996</v>
      </c>
      <c r="AE133">
        <f t="shared" si="25"/>
        <v>0.19991308126901355</v>
      </c>
      <c r="AG133">
        <f t="shared" si="26"/>
        <v>0.19991308126901355</v>
      </c>
    </row>
    <row r="134" spans="1:33" x14ac:dyDescent="0.35">
      <c r="A134" s="1">
        <v>133</v>
      </c>
      <c r="B134" t="s">
        <v>151</v>
      </c>
      <c r="C134">
        <v>33.9</v>
      </c>
      <c r="D134">
        <v>130</v>
      </c>
      <c r="E134" t="s">
        <v>151</v>
      </c>
      <c r="F134">
        <v>32.799999999999997</v>
      </c>
      <c r="G134">
        <v>113</v>
      </c>
      <c r="H134" t="s">
        <v>151</v>
      </c>
      <c r="I134">
        <v>33.799999999999997</v>
      </c>
      <c r="J134">
        <v>116</v>
      </c>
      <c r="K134" t="s">
        <v>151</v>
      </c>
      <c r="L134">
        <v>43.68</v>
      </c>
      <c r="M134">
        <v>139</v>
      </c>
      <c r="N134" t="s">
        <v>151</v>
      </c>
      <c r="O134">
        <v>50.34</v>
      </c>
      <c r="P134">
        <v>141</v>
      </c>
      <c r="Q134" t="s">
        <v>151</v>
      </c>
      <c r="R134">
        <v>35.409999999999997</v>
      </c>
      <c r="S134">
        <v>143</v>
      </c>
      <c r="U134">
        <f t="shared" si="18"/>
        <v>32.799999999999997</v>
      </c>
      <c r="V134">
        <f t="shared" si="19"/>
        <v>50.34</v>
      </c>
      <c r="W134">
        <f t="shared" si="20"/>
        <v>38.321666666666665</v>
      </c>
      <c r="X134">
        <f t="shared" si="21"/>
        <v>41.57</v>
      </c>
      <c r="Y134">
        <f t="shared" si="22"/>
        <v>3.2483333333333348</v>
      </c>
      <c r="AA134">
        <f t="shared" si="23"/>
        <v>6.4966666666666697</v>
      </c>
      <c r="AB134">
        <f t="shared" si="24"/>
        <v>17.540000000000006</v>
      </c>
      <c r="AE134">
        <f t="shared" si="25"/>
        <v>0.37039148612694794</v>
      </c>
      <c r="AG134">
        <f t="shared" si="26"/>
        <v>0.37039148612694794</v>
      </c>
    </row>
    <row r="135" spans="1:33" x14ac:dyDescent="0.35">
      <c r="A135" s="1">
        <v>134</v>
      </c>
      <c r="B135" t="s">
        <v>152</v>
      </c>
      <c r="C135">
        <v>42.5</v>
      </c>
      <c r="D135">
        <v>91</v>
      </c>
      <c r="E135" t="s">
        <v>152</v>
      </c>
      <c r="F135">
        <v>37.9</v>
      </c>
      <c r="G135">
        <v>92</v>
      </c>
      <c r="H135" t="s">
        <v>152</v>
      </c>
      <c r="I135">
        <v>44</v>
      </c>
      <c r="J135">
        <v>81</v>
      </c>
      <c r="K135" t="s">
        <v>152</v>
      </c>
      <c r="L135">
        <v>57.47</v>
      </c>
      <c r="M135">
        <v>83</v>
      </c>
      <c r="N135" t="s">
        <v>152</v>
      </c>
      <c r="O135">
        <v>68.63</v>
      </c>
      <c r="P135">
        <v>93</v>
      </c>
      <c r="Q135" t="s">
        <v>152</v>
      </c>
      <c r="R135">
        <v>66.66</v>
      </c>
      <c r="S135">
        <v>35</v>
      </c>
      <c r="U135">
        <f t="shared" si="18"/>
        <v>37.9</v>
      </c>
      <c r="V135">
        <f t="shared" si="19"/>
        <v>68.63</v>
      </c>
      <c r="W135">
        <f t="shared" si="20"/>
        <v>52.859999999999992</v>
      </c>
      <c r="X135">
        <f t="shared" si="21"/>
        <v>53.265000000000001</v>
      </c>
      <c r="Y135">
        <f t="shared" si="22"/>
        <v>0.40500000000000824</v>
      </c>
      <c r="AA135">
        <f t="shared" si="23"/>
        <v>0.81000000000001648</v>
      </c>
      <c r="AB135">
        <f t="shared" si="24"/>
        <v>30.729999999999997</v>
      </c>
      <c r="AE135">
        <f t="shared" si="25"/>
        <v>2.6358607224211409E-2</v>
      </c>
      <c r="AG135">
        <f t="shared" si="26"/>
        <v>2.6358607224211409E-2</v>
      </c>
    </row>
    <row r="136" spans="1:33" x14ac:dyDescent="0.35">
      <c r="A136" s="1">
        <v>135</v>
      </c>
      <c r="B136" t="s">
        <v>153</v>
      </c>
      <c r="C136">
        <v>43.8</v>
      </c>
      <c r="D136">
        <v>83</v>
      </c>
      <c r="E136" t="s">
        <v>153</v>
      </c>
      <c r="F136">
        <v>33.9</v>
      </c>
      <c r="G136">
        <v>111</v>
      </c>
      <c r="H136" t="s">
        <v>153</v>
      </c>
      <c r="I136">
        <v>30.7</v>
      </c>
      <c r="J136">
        <v>129</v>
      </c>
      <c r="K136" t="s">
        <v>153</v>
      </c>
      <c r="L136">
        <v>49.52</v>
      </c>
      <c r="M136">
        <v>117</v>
      </c>
      <c r="N136" t="s">
        <v>153</v>
      </c>
      <c r="O136">
        <v>63.73</v>
      </c>
      <c r="P136">
        <v>114</v>
      </c>
      <c r="Q136" t="s">
        <v>153</v>
      </c>
      <c r="R136">
        <v>40.83</v>
      </c>
      <c r="S136">
        <v>121</v>
      </c>
      <c r="U136">
        <f t="shared" si="18"/>
        <v>30.7</v>
      </c>
      <c r="V136">
        <f t="shared" si="19"/>
        <v>63.73</v>
      </c>
      <c r="W136">
        <f t="shared" si="20"/>
        <v>43.746666666666663</v>
      </c>
      <c r="X136">
        <f t="shared" si="21"/>
        <v>47.214999999999996</v>
      </c>
      <c r="Y136">
        <f t="shared" si="22"/>
        <v>3.4683333333333337</v>
      </c>
      <c r="AA136">
        <f t="shared" si="23"/>
        <v>6.9366666666666674</v>
      </c>
      <c r="AB136">
        <f t="shared" si="24"/>
        <v>33.03</v>
      </c>
      <c r="AE136">
        <f t="shared" si="25"/>
        <v>0.21001110101927542</v>
      </c>
      <c r="AG136">
        <f t="shared" si="26"/>
        <v>0.21001110101927542</v>
      </c>
    </row>
    <row r="137" spans="1:33" x14ac:dyDescent="0.35">
      <c r="A137" s="1">
        <v>136</v>
      </c>
      <c r="B137" t="s">
        <v>154</v>
      </c>
      <c r="C137">
        <v>49.8</v>
      </c>
      <c r="D137">
        <v>53</v>
      </c>
      <c r="E137" t="s">
        <v>154</v>
      </c>
      <c r="F137">
        <v>43.9</v>
      </c>
      <c r="G137">
        <v>68</v>
      </c>
      <c r="H137" t="s">
        <v>154</v>
      </c>
      <c r="I137">
        <v>55.2</v>
      </c>
      <c r="J137">
        <v>43</v>
      </c>
      <c r="K137" t="s">
        <v>154</v>
      </c>
      <c r="L137">
        <v>57.49</v>
      </c>
      <c r="M137">
        <v>82</v>
      </c>
      <c r="N137" t="s">
        <v>154</v>
      </c>
      <c r="O137">
        <v>78.67</v>
      </c>
      <c r="P137">
        <v>48</v>
      </c>
      <c r="Q137" t="s">
        <v>154</v>
      </c>
      <c r="R137">
        <v>69.13</v>
      </c>
      <c r="S137">
        <v>31</v>
      </c>
      <c r="U137">
        <f t="shared" si="18"/>
        <v>43.9</v>
      </c>
      <c r="V137">
        <f t="shared" si="19"/>
        <v>78.67</v>
      </c>
      <c r="W137">
        <f t="shared" si="20"/>
        <v>59.031666666666666</v>
      </c>
      <c r="X137">
        <f t="shared" si="21"/>
        <v>61.284999999999997</v>
      </c>
      <c r="Y137">
        <f t="shared" si="22"/>
        <v>2.2533333333333303</v>
      </c>
      <c r="AA137">
        <f t="shared" si="23"/>
        <v>4.5066666666666606</v>
      </c>
      <c r="AB137">
        <f t="shared" si="24"/>
        <v>34.770000000000003</v>
      </c>
      <c r="AE137">
        <f t="shared" si="25"/>
        <v>0.12961365161537705</v>
      </c>
      <c r="AG137">
        <f t="shared" si="26"/>
        <v>0.12961365161537705</v>
      </c>
    </row>
    <row r="138" spans="1:33" x14ac:dyDescent="0.35">
      <c r="A138" s="1">
        <v>137</v>
      </c>
      <c r="B138" t="s">
        <v>155</v>
      </c>
      <c r="C138">
        <v>47.9</v>
      </c>
      <c r="D138">
        <v>62</v>
      </c>
      <c r="E138" t="s">
        <v>155</v>
      </c>
      <c r="F138">
        <v>55.6</v>
      </c>
      <c r="G138">
        <v>31</v>
      </c>
      <c r="H138" t="s">
        <v>155</v>
      </c>
      <c r="I138">
        <v>58.2</v>
      </c>
      <c r="J138">
        <v>36</v>
      </c>
      <c r="K138" t="s">
        <v>155</v>
      </c>
      <c r="L138">
        <v>66.02</v>
      </c>
      <c r="M138">
        <v>37</v>
      </c>
      <c r="N138" t="s">
        <v>155</v>
      </c>
      <c r="O138">
        <v>64.92</v>
      </c>
      <c r="P138">
        <v>109</v>
      </c>
      <c r="Q138" t="s">
        <v>155</v>
      </c>
      <c r="R138">
        <v>55.56</v>
      </c>
      <c r="S138">
        <v>61</v>
      </c>
      <c r="U138">
        <f t="shared" si="18"/>
        <v>47.9</v>
      </c>
      <c r="V138">
        <f t="shared" si="19"/>
        <v>66.02</v>
      </c>
      <c r="W138">
        <f t="shared" si="20"/>
        <v>58.033333333333331</v>
      </c>
      <c r="X138">
        <f t="shared" si="21"/>
        <v>56.959999999999994</v>
      </c>
      <c r="Y138">
        <f t="shared" si="22"/>
        <v>-1.0733333333333377</v>
      </c>
      <c r="AA138">
        <f t="shared" si="23"/>
        <v>-2.1466666666666754</v>
      </c>
      <c r="AB138">
        <f t="shared" si="24"/>
        <v>18.119999999999997</v>
      </c>
      <c r="AE138">
        <f t="shared" si="25"/>
        <v>-0.11846946284032427</v>
      </c>
      <c r="AG138">
        <f t="shared" si="26"/>
        <v>0.11846946284032427</v>
      </c>
    </row>
    <row r="139" spans="1:33" x14ac:dyDescent="0.35">
      <c r="A139" s="1">
        <v>138</v>
      </c>
      <c r="B139" t="s">
        <v>156</v>
      </c>
      <c r="C139">
        <v>39.9</v>
      </c>
      <c r="D139">
        <v>104</v>
      </c>
      <c r="E139" t="s">
        <v>156</v>
      </c>
      <c r="F139">
        <v>32.700000000000003</v>
      </c>
      <c r="G139">
        <v>114</v>
      </c>
      <c r="H139" t="s">
        <v>156</v>
      </c>
      <c r="I139">
        <v>25.7</v>
      </c>
      <c r="J139">
        <v>148</v>
      </c>
      <c r="K139" t="s">
        <v>156</v>
      </c>
      <c r="L139">
        <v>42.54</v>
      </c>
      <c r="M139">
        <v>146</v>
      </c>
      <c r="N139" t="s">
        <v>156</v>
      </c>
      <c r="O139">
        <v>45.98</v>
      </c>
      <c r="P139">
        <v>154</v>
      </c>
      <c r="Q139" t="s">
        <v>156</v>
      </c>
      <c r="R139">
        <v>21.74</v>
      </c>
      <c r="S139">
        <v>169</v>
      </c>
      <c r="U139">
        <f t="shared" si="18"/>
        <v>21.74</v>
      </c>
      <c r="V139">
        <f t="shared" si="19"/>
        <v>45.98</v>
      </c>
      <c r="W139">
        <f t="shared" si="20"/>
        <v>34.76</v>
      </c>
      <c r="X139">
        <f t="shared" si="21"/>
        <v>33.86</v>
      </c>
      <c r="Y139">
        <f t="shared" si="22"/>
        <v>-0.89999999999999858</v>
      </c>
      <c r="AA139">
        <f t="shared" si="23"/>
        <v>-1.7999999999999972</v>
      </c>
      <c r="AB139">
        <f t="shared" si="24"/>
        <v>24.24</v>
      </c>
      <c r="AE139">
        <f t="shared" si="25"/>
        <v>-7.4257425742574143E-2</v>
      </c>
      <c r="AG139">
        <f t="shared" si="26"/>
        <v>7.4257425742574143E-2</v>
      </c>
    </row>
    <row r="140" spans="1:33" x14ac:dyDescent="0.35">
      <c r="A140" s="1">
        <v>139</v>
      </c>
      <c r="B140" t="s">
        <v>157</v>
      </c>
      <c r="C140">
        <v>53</v>
      </c>
      <c r="D140">
        <v>43</v>
      </c>
      <c r="E140" t="s">
        <v>157</v>
      </c>
      <c r="F140">
        <v>50.9</v>
      </c>
      <c r="G140">
        <v>40</v>
      </c>
      <c r="H140" t="s">
        <v>157</v>
      </c>
      <c r="I140">
        <v>58.1</v>
      </c>
      <c r="J140">
        <v>37</v>
      </c>
      <c r="K140" t="s">
        <v>157</v>
      </c>
      <c r="L140">
        <v>64.23</v>
      </c>
      <c r="M140">
        <v>47</v>
      </c>
      <c r="N140" t="s">
        <v>157</v>
      </c>
      <c r="O140">
        <v>87.04</v>
      </c>
      <c r="P140">
        <v>14</v>
      </c>
      <c r="Q140" t="s">
        <v>157</v>
      </c>
      <c r="R140">
        <v>81.78</v>
      </c>
      <c r="S140">
        <v>4</v>
      </c>
      <c r="U140">
        <f t="shared" si="18"/>
        <v>50.9</v>
      </c>
      <c r="V140">
        <f t="shared" si="19"/>
        <v>87.04</v>
      </c>
      <c r="W140">
        <f t="shared" si="20"/>
        <v>65.841666666666683</v>
      </c>
      <c r="X140">
        <f t="shared" si="21"/>
        <v>68.97</v>
      </c>
      <c r="Y140">
        <f t="shared" si="22"/>
        <v>3.1283333333333161</v>
      </c>
      <c r="AA140">
        <f t="shared" si="23"/>
        <v>6.2566666666666322</v>
      </c>
      <c r="AB140">
        <f t="shared" si="24"/>
        <v>36.140000000000008</v>
      </c>
      <c r="AE140">
        <f t="shared" si="25"/>
        <v>0.17312304002951387</v>
      </c>
      <c r="AG140">
        <f t="shared" si="26"/>
        <v>0.17312304002951387</v>
      </c>
    </row>
    <row r="141" spans="1:33" x14ac:dyDescent="0.35">
      <c r="A141" s="1">
        <v>140</v>
      </c>
      <c r="B141" t="s">
        <v>158</v>
      </c>
      <c r="C141">
        <v>65.099999999999994</v>
      </c>
      <c r="D141">
        <v>17</v>
      </c>
      <c r="E141" t="s">
        <v>158</v>
      </c>
      <c r="F141">
        <v>60</v>
      </c>
      <c r="G141">
        <v>18</v>
      </c>
      <c r="H141" t="s">
        <v>158</v>
      </c>
      <c r="I141">
        <v>68.3</v>
      </c>
      <c r="J141">
        <v>24</v>
      </c>
      <c r="K141" t="s">
        <v>158</v>
      </c>
      <c r="L141">
        <v>70.599999999999994</v>
      </c>
      <c r="M141">
        <v>28</v>
      </c>
      <c r="N141" t="s">
        <v>158</v>
      </c>
      <c r="O141">
        <v>85.42</v>
      </c>
      <c r="P141">
        <v>24</v>
      </c>
      <c r="Q141" t="s">
        <v>158</v>
      </c>
      <c r="R141">
        <v>74.45</v>
      </c>
      <c r="S141">
        <v>21</v>
      </c>
      <c r="U141">
        <f t="shared" si="18"/>
        <v>60</v>
      </c>
      <c r="V141">
        <f t="shared" si="19"/>
        <v>85.42</v>
      </c>
      <c r="W141">
        <f t="shared" si="20"/>
        <v>70.644999999999996</v>
      </c>
      <c r="X141">
        <f t="shared" si="21"/>
        <v>72.710000000000008</v>
      </c>
      <c r="Y141">
        <f t="shared" si="22"/>
        <v>2.0650000000000119</v>
      </c>
      <c r="AA141">
        <f t="shared" si="23"/>
        <v>4.1300000000000239</v>
      </c>
      <c r="AB141">
        <f t="shared" si="24"/>
        <v>25.42</v>
      </c>
      <c r="AE141">
        <f t="shared" si="25"/>
        <v>0.16247049567269958</v>
      </c>
      <c r="AG141">
        <f t="shared" si="26"/>
        <v>0.16247049567269958</v>
      </c>
    </row>
    <row r="142" spans="1:33" x14ac:dyDescent="0.35">
      <c r="A142" s="1">
        <v>141</v>
      </c>
      <c r="B142" t="s">
        <v>159</v>
      </c>
      <c r="C142">
        <v>62.4</v>
      </c>
      <c r="D142">
        <v>23</v>
      </c>
      <c r="E142" t="s">
        <v>159</v>
      </c>
      <c r="F142">
        <v>67.3</v>
      </c>
      <c r="G142">
        <v>7</v>
      </c>
      <c r="H142" t="s">
        <v>159</v>
      </c>
      <c r="I142">
        <v>72</v>
      </c>
      <c r="J142">
        <v>18</v>
      </c>
      <c r="K142" t="s">
        <v>159</v>
      </c>
      <c r="L142">
        <v>67.569999999999993</v>
      </c>
      <c r="M142">
        <v>33</v>
      </c>
      <c r="N142" t="s">
        <v>159</v>
      </c>
      <c r="O142">
        <v>88.98</v>
      </c>
      <c r="P142">
        <v>5</v>
      </c>
      <c r="Q142" t="s">
        <v>159</v>
      </c>
      <c r="R142">
        <v>76.430000000000007</v>
      </c>
      <c r="S142">
        <v>15</v>
      </c>
      <c r="U142">
        <f t="shared" si="18"/>
        <v>62.4</v>
      </c>
      <c r="V142">
        <f t="shared" si="19"/>
        <v>88.98</v>
      </c>
      <c r="W142">
        <f t="shared" si="20"/>
        <v>72.446666666666673</v>
      </c>
      <c r="X142">
        <f t="shared" si="21"/>
        <v>75.69</v>
      </c>
      <c r="Y142">
        <f t="shared" si="22"/>
        <v>3.2433333333333252</v>
      </c>
      <c r="AA142">
        <f t="shared" si="23"/>
        <v>6.4866666666666504</v>
      </c>
      <c r="AB142">
        <f t="shared" si="24"/>
        <v>26.580000000000005</v>
      </c>
      <c r="AE142">
        <f t="shared" si="25"/>
        <v>0.24404314020566775</v>
      </c>
      <c r="AG142">
        <f t="shared" si="26"/>
        <v>0.24404314020566775</v>
      </c>
    </row>
    <row r="143" spans="1:33" x14ac:dyDescent="0.35">
      <c r="A143" s="1">
        <v>142</v>
      </c>
      <c r="B143" t="s">
        <v>160</v>
      </c>
      <c r="C143">
        <v>42.2</v>
      </c>
      <c r="D143">
        <v>92</v>
      </c>
      <c r="E143" t="s">
        <v>160</v>
      </c>
      <c r="F143">
        <v>35</v>
      </c>
      <c r="G143">
        <v>106</v>
      </c>
      <c r="H143" t="s">
        <v>160</v>
      </c>
      <c r="I143">
        <v>26.7</v>
      </c>
      <c r="J143">
        <v>144</v>
      </c>
      <c r="K143" t="s">
        <v>160</v>
      </c>
      <c r="L143">
        <v>43.22</v>
      </c>
      <c r="M143">
        <v>142</v>
      </c>
      <c r="N143" t="s">
        <v>160</v>
      </c>
      <c r="O143">
        <v>46.92</v>
      </c>
      <c r="P143">
        <v>150</v>
      </c>
      <c r="Q143" t="s">
        <v>160</v>
      </c>
      <c r="R143">
        <v>31.63</v>
      </c>
      <c r="S143">
        <v>149</v>
      </c>
      <c r="U143">
        <f t="shared" si="18"/>
        <v>26.7</v>
      </c>
      <c r="V143">
        <f t="shared" si="19"/>
        <v>46.92</v>
      </c>
      <c r="W143">
        <f t="shared" si="20"/>
        <v>37.611666666666672</v>
      </c>
      <c r="X143">
        <f t="shared" si="21"/>
        <v>36.81</v>
      </c>
      <c r="Y143">
        <f t="shared" si="22"/>
        <v>-0.80166666666666941</v>
      </c>
      <c r="AA143">
        <f t="shared" si="23"/>
        <v>-1.6033333333333388</v>
      </c>
      <c r="AB143">
        <f t="shared" si="24"/>
        <v>20.220000000000002</v>
      </c>
      <c r="AE143">
        <f t="shared" si="25"/>
        <v>-7.9294427959116648E-2</v>
      </c>
      <c r="AG143">
        <f t="shared" si="26"/>
        <v>7.9294427959116648E-2</v>
      </c>
    </row>
    <row r="144" spans="1:33" x14ac:dyDescent="0.35">
      <c r="A144" s="1">
        <v>143</v>
      </c>
      <c r="B144" t="s">
        <v>161</v>
      </c>
      <c r="C144">
        <v>42.7</v>
      </c>
      <c r="D144">
        <v>89</v>
      </c>
      <c r="E144" t="s">
        <v>161</v>
      </c>
      <c r="F144">
        <v>37.200000000000003</v>
      </c>
      <c r="G144">
        <v>96</v>
      </c>
      <c r="H144" t="s">
        <v>161</v>
      </c>
      <c r="I144">
        <v>43.1</v>
      </c>
      <c r="J144">
        <v>85</v>
      </c>
      <c r="K144" t="s">
        <v>161</v>
      </c>
      <c r="L144">
        <v>44.73</v>
      </c>
      <c r="M144">
        <v>133</v>
      </c>
      <c r="N144" t="s">
        <v>161</v>
      </c>
      <c r="O144">
        <v>70.52</v>
      </c>
      <c r="P144">
        <v>81</v>
      </c>
      <c r="Q144" t="s">
        <v>161</v>
      </c>
      <c r="R144">
        <v>53.51</v>
      </c>
      <c r="S144">
        <v>71</v>
      </c>
      <c r="U144">
        <f t="shared" si="18"/>
        <v>37.200000000000003</v>
      </c>
      <c r="V144">
        <f t="shared" si="19"/>
        <v>70.52</v>
      </c>
      <c r="W144">
        <f t="shared" si="20"/>
        <v>48.626666666666665</v>
      </c>
      <c r="X144">
        <f t="shared" si="21"/>
        <v>53.86</v>
      </c>
      <c r="Y144">
        <f t="shared" si="22"/>
        <v>5.2333333333333343</v>
      </c>
      <c r="AA144">
        <f t="shared" si="23"/>
        <v>10.466666666666669</v>
      </c>
      <c r="AB144">
        <f t="shared" si="24"/>
        <v>33.319999999999993</v>
      </c>
      <c r="AE144">
        <f t="shared" si="25"/>
        <v>0.31412565026010414</v>
      </c>
      <c r="AG144">
        <f t="shared" si="26"/>
        <v>0.31412565026010414</v>
      </c>
    </row>
    <row r="145" spans="1:33" x14ac:dyDescent="0.35">
      <c r="A145" s="1">
        <v>144</v>
      </c>
      <c r="B145" t="s">
        <v>162</v>
      </c>
      <c r="C145">
        <v>50.6</v>
      </c>
      <c r="D145">
        <v>49</v>
      </c>
      <c r="E145" t="s">
        <v>162</v>
      </c>
      <c r="F145">
        <v>46.9</v>
      </c>
      <c r="G145">
        <v>55</v>
      </c>
      <c r="H145" t="s">
        <v>162</v>
      </c>
      <c r="I145">
        <v>66.5</v>
      </c>
      <c r="J145">
        <v>26</v>
      </c>
      <c r="K145" t="s">
        <v>162</v>
      </c>
      <c r="L145">
        <v>62.3</v>
      </c>
      <c r="M145">
        <v>58</v>
      </c>
      <c r="N145" t="s">
        <v>162</v>
      </c>
      <c r="O145">
        <v>70.61</v>
      </c>
      <c r="P145">
        <v>80</v>
      </c>
      <c r="Q145" t="s">
        <v>162</v>
      </c>
      <c r="R145">
        <v>63.79</v>
      </c>
      <c r="S145">
        <v>43</v>
      </c>
      <c r="U145">
        <f t="shared" si="18"/>
        <v>46.9</v>
      </c>
      <c r="V145">
        <f t="shared" si="19"/>
        <v>70.61</v>
      </c>
      <c r="W145">
        <f t="shared" si="20"/>
        <v>60.116666666666674</v>
      </c>
      <c r="X145">
        <f t="shared" si="21"/>
        <v>58.754999999999995</v>
      </c>
      <c r="Y145">
        <f t="shared" si="22"/>
        <v>-1.3616666666666788</v>
      </c>
      <c r="AA145">
        <f t="shared" si="23"/>
        <v>-2.7233333333333576</v>
      </c>
      <c r="AB145">
        <f t="shared" si="24"/>
        <v>23.71</v>
      </c>
      <c r="AE145">
        <f t="shared" si="25"/>
        <v>-0.11486011528187927</v>
      </c>
      <c r="AG145">
        <f t="shared" si="26"/>
        <v>0.11486011528187927</v>
      </c>
    </row>
    <row r="146" spans="1:33" x14ac:dyDescent="0.35">
      <c r="A146" s="1">
        <v>145</v>
      </c>
      <c r="B146" t="s">
        <v>163</v>
      </c>
      <c r="C146">
        <v>64</v>
      </c>
      <c r="D146">
        <v>21</v>
      </c>
      <c r="E146" t="s">
        <v>163</v>
      </c>
      <c r="F146">
        <v>56.6</v>
      </c>
      <c r="G146">
        <v>27</v>
      </c>
      <c r="H146" t="s">
        <v>163</v>
      </c>
      <c r="I146">
        <v>74.3</v>
      </c>
      <c r="J146">
        <v>14</v>
      </c>
      <c r="K146" t="s">
        <v>163</v>
      </c>
      <c r="L146">
        <v>78.39</v>
      </c>
      <c r="M146">
        <v>12</v>
      </c>
      <c r="N146" t="s">
        <v>163</v>
      </c>
      <c r="O146">
        <v>88.91</v>
      </c>
      <c r="P146">
        <v>6</v>
      </c>
      <c r="Q146" t="s">
        <v>163</v>
      </c>
      <c r="R146">
        <v>79.790000000000006</v>
      </c>
      <c r="S146">
        <v>7</v>
      </c>
      <c r="U146">
        <f t="shared" si="18"/>
        <v>56.6</v>
      </c>
      <c r="V146">
        <f t="shared" si="19"/>
        <v>88.91</v>
      </c>
      <c r="W146">
        <f t="shared" si="20"/>
        <v>73.664999999999992</v>
      </c>
      <c r="X146">
        <f t="shared" si="21"/>
        <v>72.754999999999995</v>
      </c>
      <c r="Y146">
        <f t="shared" si="22"/>
        <v>-0.90999999999999659</v>
      </c>
      <c r="AA146">
        <f t="shared" si="23"/>
        <v>-1.8199999999999932</v>
      </c>
      <c r="AB146">
        <f t="shared" si="24"/>
        <v>32.309999999999995</v>
      </c>
      <c r="AE146">
        <f t="shared" si="25"/>
        <v>-5.6329309811203758E-2</v>
      </c>
      <c r="AG146">
        <f t="shared" si="26"/>
        <v>5.6329309811203758E-2</v>
      </c>
    </row>
    <row r="147" spans="1:33" x14ac:dyDescent="0.35">
      <c r="A147" s="1">
        <v>146</v>
      </c>
      <c r="B147" t="s">
        <v>164</v>
      </c>
      <c r="C147">
        <v>38.799999999999997</v>
      </c>
      <c r="D147">
        <v>108</v>
      </c>
      <c r="E147" t="s">
        <v>164</v>
      </c>
      <c r="F147">
        <v>34.700000000000003</v>
      </c>
      <c r="G147">
        <v>107</v>
      </c>
      <c r="H147" t="s">
        <v>164</v>
      </c>
      <c r="I147">
        <v>39</v>
      </c>
      <c r="J147">
        <v>96</v>
      </c>
      <c r="K147" t="s">
        <v>164</v>
      </c>
      <c r="L147">
        <v>60.61</v>
      </c>
      <c r="M147">
        <v>68</v>
      </c>
      <c r="N147" t="s">
        <v>164</v>
      </c>
      <c r="O147">
        <v>65.55</v>
      </c>
      <c r="P147">
        <v>105</v>
      </c>
      <c r="Q147" t="s">
        <v>164</v>
      </c>
      <c r="R147">
        <v>53.88</v>
      </c>
      <c r="S147">
        <v>68</v>
      </c>
      <c r="U147">
        <f t="shared" si="18"/>
        <v>34.700000000000003</v>
      </c>
      <c r="V147">
        <f t="shared" si="19"/>
        <v>65.55</v>
      </c>
      <c r="W147">
        <f t="shared" si="20"/>
        <v>48.756666666666668</v>
      </c>
      <c r="X147">
        <f t="shared" si="21"/>
        <v>50.125</v>
      </c>
      <c r="Y147">
        <f t="shared" si="22"/>
        <v>1.3683333333333323</v>
      </c>
      <c r="AA147">
        <f t="shared" si="23"/>
        <v>2.7366666666666646</v>
      </c>
      <c r="AB147">
        <f t="shared" si="24"/>
        <v>30.849999999999994</v>
      </c>
      <c r="AE147">
        <f t="shared" si="25"/>
        <v>8.8708806050783309E-2</v>
      </c>
      <c r="AG147">
        <f t="shared" si="26"/>
        <v>8.8708806050783309E-2</v>
      </c>
    </row>
    <row r="148" spans="1:33" x14ac:dyDescent="0.35">
      <c r="A148" s="1">
        <v>147</v>
      </c>
      <c r="B148" t="s">
        <v>165</v>
      </c>
      <c r="C148">
        <v>39.1</v>
      </c>
      <c r="D148">
        <v>106</v>
      </c>
      <c r="E148" t="s">
        <v>165</v>
      </c>
      <c r="F148">
        <v>27.6</v>
      </c>
      <c r="G148">
        <v>136</v>
      </c>
      <c r="H148" t="s">
        <v>165</v>
      </c>
      <c r="I148">
        <v>34.799999999999997</v>
      </c>
      <c r="J148">
        <v>112</v>
      </c>
      <c r="K148" t="s">
        <v>165</v>
      </c>
      <c r="L148">
        <v>51.49</v>
      </c>
      <c r="M148">
        <v>108</v>
      </c>
      <c r="N148" t="s">
        <v>165</v>
      </c>
      <c r="O148">
        <v>42.25</v>
      </c>
      <c r="P148">
        <v>162</v>
      </c>
      <c r="Q148" t="s">
        <v>165</v>
      </c>
      <c r="R148">
        <v>24.64</v>
      </c>
      <c r="S148">
        <v>167</v>
      </c>
      <c r="U148">
        <f t="shared" si="18"/>
        <v>24.64</v>
      </c>
      <c r="V148">
        <f t="shared" si="19"/>
        <v>51.49</v>
      </c>
      <c r="W148">
        <f t="shared" si="20"/>
        <v>36.646666666666668</v>
      </c>
      <c r="X148">
        <f t="shared" si="21"/>
        <v>38.064999999999998</v>
      </c>
      <c r="Y148">
        <f t="shared" si="22"/>
        <v>1.4183333333333294</v>
      </c>
      <c r="AA148">
        <f t="shared" si="23"/>
        <v>2.8366666666666589</v>
      </c>
      <c r="AB148">
        <f t="shared" si="24"/>
        <v>26.85</v>
      </c>
      <c r="AE148">
        <f t="shared" si="25"/>
        <v>0.10564866542520145</v>
      </c>
      <c r="AG148">
        <f t="shared" si="26"/>
        <v>0.10564866542520145</v>
      </c>
    </row>
    <row r="149" spans="1:33" x14ac:dyDescent="0.35">
      <c r="A149" s="1">
        <v>148</v>
      </c>
      <c r="B149" t="s">
        <v>166</v>
      </c>
      <c r="C149">
        <v>56.9</v>
      </c>
      <c r="D149">
        <v>34</v>
      </c>
      <c r="E149" t="s">
        <v>166</v>
      </c>
      <c r="F149">
        <v>45.9</v>
      </c>
      <c r="G149">
        <v>61</v>
      </c>
      <c r="H149" t="s">
        <v>166</v>
      </c>
      <c r="I149">
        <v>45.2</v>
      </c>
      <c r="J149">
        <v>74</v>
      </c>
      <c r="K149" t="s">
        <v>166</v>
      </c>
      <c r="L149">
        <v>54.2</v>
      </c>
      <c r="M149">
        <v>98</v>
      </c>
      <c r="N149" t="s">
        <v>166</v>
      </c>
      <c r="O149">
        <v>68.58</v>
      </c>
      <c r="P149">
        <v>94</v>
      </c>
      <c r="Q149" t="s">
        <v>166</v>
      </c>
      <c r="R149">
        <v>53.57</v>
      </c>
      <c r="S149">
        <v>70</v>
      </c>
      <c r="U149">
        <f t="shared" si="18"/>
        <v>45.2</v>
      </c>
      <c r="V149">
        <f t="shared" si="19"/>
        <v>68.58</v>
      </c>
      <c r="W149">
        <f t="shared" si="20"/>
        <v>54.05833333333333</v>
      </c>
      <c r="X149">
        <f t="shared" si="21"/>
        <v>56.89</v>
      </c>
      <c r="Y149">
        <f t="shared" si="22"/>
        <v>2.8316666666666706</v>
      </c>
      <c r="AA149">
        <f t="shared" si="23"/>
        <v>5.6633333333333411</v>
      </c>
      <c r="AB149">
        <f t="shared" si="24"/>
        <v>23.379999999999995</v>
      </c>
      <c r="AE149">
        <f t="shared" si="25"/>
        <v>0.24222982606216176</v>
      </c>
      <c r="AG149">
        <f t="shared" si="26"/>
        <v>0.24222982606216176</v>
      </c>
    </row>
    <row r="150" spans="1:33" x14ac:dyDescent="0.35">
      <c r="A150" s="1">
        <v>149</v>
      </c>
      <c r="B150" t="s">
        <v>167</v>
      </c>
      <c r="C150">
        <v>70.3</v>
      </c>
      <c r="D150">
        <v>6</v>
      </c>
      <c r="E150" t="s">
        <v>167</v>
      </c>
      <c r="F150">
        <v>72.7</v>
      </c>
      <c r="G150">
        <v>5</v>
      </c>
      <c r="H150" t="s">
        <v>167</v>
      </c>
      <c r="I150">
        <v>78.7</v>
      </c>
      <c r="J150">
        <v>8</v>
      </c>
      <c r="K150" t="s">
        <v>167</v>
      </c>
      <c r="L150">
        <v>80.510000000000005</v>
      </c>
      <c r="M150">
        <v>5</v>
      </c>
      <c r="N150" t="s">
        <v>167</v>
      </c>
      <c r="O150">
        <v>90.43</v>
      </c>
      <c r="P150">
        <v>3</v>
      </c>
      <c r="Q150" t="s">
        <v>167</v>
      </c>
      <c r="R150">
        <v>78.09</v>
      </c>
      <c r="S150">
        <v>9</v>
      </c>
      <c r="U150">
        <f t="shared" si="18"/>
        <v>70.3</v>
      </c>
      <c r="V150">
        <f t="shared" si="19"/>
        <v>90.43</v>
      </c>
      <c r="W150">
        <f t="shared" si="20"/>
        <v>78.454999999999998</v>
      </c>
      <c r="X150">
        <f t="shared" si="21"/>
        <v>80.365000000000009</v>
      </c>
      <c r="Y150">
        <f t="shared" si="22"/>
        <v>1.9100000000000108</v>
      </c>
      <c r="AA150">
        <f t="shared" si="23"/>
        <v>3.8200000000000216</v>
      </c>
      <c r="AB150">
        <f t="shared" si="24"/>
        <v>20.13000000000001</v>
      </c>
      <c r="AE150">
        <f t="shared" si="25"/>
        <v>0.18976651763537108</v>
      </c>
      <c r="AG150">
        <f t="shared" si="26"/>
        <v>0.18976651763537108</v>
      </c>
    </row>
    <row r="151" spans="1:33" x14ac:dyDescent="0.35">
      <c r="A151" s="1">
        <v>150</v>
      </c>
      <c r="B151" t="s">
        <v>168</v>
      </c>
      <c r="C151">
        <v>67.8</v>
      </c>
      <c r="D151">
        <v>9</v>
      </c>
      <c r="E151" t="s">
        <v>168</v>
      </c>
      <c r="F151">
        <v>65.900000000000006</v>
      </c>
      <c r="G151">
        <v>9</v>
      </c>
      <c r="H151" t="s">
        <v>168</v>
      </c>
      <c r="I151">
        <v>81.5</v>
      </c>
      <c r="J151">
        <v>3</v>
      </c>
      <c r="K151" t="s">
        <v>168</v>
      </c>
      <c r="L151">
        <v>87.42</v>
      </c>
      <c r="M151">
        <v>1</v>
      </c>
      <c r="N151" t="s">
        <v>168</v>
      </c>
      <c r="O151">
        <v>86.93</v>
      </c>
      <c r="P151">
        <v>16</v>
      </c>
      <c r="Q151" t="s">
        <v>168</v>
      </c>
      <c r="R151">
        <v>87.67</v>
      </c>
      <c r="S151">
        <v>1</v>
      </c>
      <c r="U151">
        <f t="shared" si="18"/>
        <v>65.900000000000006</v>
      </c>
      <c r="V151">
        <f t="shared" si="19"/>
        <v>87.67</v>
      </c>
      <c r="W151">
        <f t="shared" si="20"/>
        <v>79.536666666666676</v>
      </c>
      <c r="X151">
        <f t="shared" si="21"/>
        <v>76.784999999999997</v>
      </c>
      <c r="Y151">
        <f t="shared" si="22"/>
        <v>-2.7516666666666794</v>
      </c>
      <c r="AA151">
        <f t="shared" si="23"/>
        <v>-5.5033333333333587</v>
      </c>
      <c r="AB151">
        <f t="shared" si="24"/>
        <v>21.769999999999996</v>
      </c>
      <c r="AE151">
        <f t="shared" si="25"/>
        <v>-0.25279436533455946</v>
      </c>
      <c r="AG151">
        <f t="shared" si="26"/>
        <v>0.25279436533455946</v>
      </c>
    </row>
    <row r="152" spans="1:33" x14ac:dyDescent="0.35">
      <c r="A152" s="1">
        <v>151</v>
      </c>
      <c r="B152" t="s">
        <v>169</v>
      </c>
      <c r="C152">
        <v>50.1</v>
      </c>
      <c r="D152">
        <v>51</v>
      </c>
      <c r="E152" t="s">
        <v>169</v>
      </c>
      <c r="F152">
        <v>45.3</v>
      </c>
      <c r="G152">
        <v>65</v>
      </c>
      <c r="H152" t="s">
        <v>169</v>
      </c>
      <c r="I152">
        <v>57.2</v>
      </c>
      <c r="J152">
        <v>38</v>
      </c>
      <c r="K152" t="s">
        <v>169</v>
      </c>
      <c r="L152">
        <v>72.84</v>
      </c>
      <c r="M152">
        <v>23</v>
      </c>
      <c r="N152" t="s">
        <v>169</v>
      </c>
      <c r="O152">
        <v>74.88</v>
      </c>
      <c r="P152">
        <v>60</v>
      </c>
      <c r="Q152" t="s">
        <v>169</v>
      </c>
      <c r="R152">
        <v>62.18</v>
      </c>
      <c r="S152">
        <v>46</v>
      </c>
      <c r="U152">
        <f t="shared" si="18"/>
        <v>45.3</v>
      </c>
      <c r="V152">
        <f t="shared" si="19"/>
        <v>74.88</v>
      </c>
      <c r="W152">
        <f t="shared" si="20"/>
        <v>60.416666666666679</v>
      </c>
      <c r="X152">
        <f t="shared" si="21"/>
        <v>60.089999999999996</v>
      </c>
      <c r="Y152">
        <f t="shared" si="22"/>
        <v>-0.3266666666666822</v>
      </c>
      <c r="AA152">
        <f t="shared" si="23"/>
        <v>-0.65333333333336441</v>
      </c>
      <c r="AB152">
        <f t="shared" si="24"/>
        <v>29.58</v>
      </c>
      <c r="AE152">
        <f t="shared" si="25"/>
        <v>-2.2086995717828413E-2</v>
      </c>
      <c r="AG152">
        <f t="shared" si="26"/>
        <v>2.2086995717828413E-2</v>
      </c>
    </row>
    <row r="153" spans="1:33" x14ac:dyDescent="0.35">
      <c r="A153" s="1">
        <v>152</v>
      </c>
      <c r="B153" t="s">
        <v>170</v>
      </c>
      <c r="C153">
        <v>32.299999999999997</v>
      </c>
      <c r="D153">
        <v>135</v>
      </c>
      <c r="E153" t="s">
        <v>170</v>
      </c>
      <c r="F153">
        <v>37.1</v>
      </c>
      <c r="G153">
        <v>97</v>
      </c>
      <c r="H153" t="s">
        <v>170</v>
      </c>
      <c r="I153">
        <v>38.200000000000003</v>
      </c>
      <c r="J153">
        <v>100</v>
      </c>
      <c r="K153" t="s">
        <v>170</v>
      </c>
      <c r="L153">
        <v>47.85</v>
      </c>
      <c r="M153">
        <v>120</v>
      </c>
      <c r="N153" t="s">
        <v>170</v>
      </c>
      <c r="O153">
        <v>73.05</v>
      </c>
      <c r="P153">
        <v>72</v>
      </c>
      <c r="Q153" t="s">
        <v>170</v>
      </c>
      <c r="R153">
        <v>31.34</v>
      </c>
      <c r="S153">
        <v>151</v>
      </c>
      <c r="U153">
        <f t="shared" si="18"/>
        <v>31.34</v>
      </c>
      <c r="V153">
        <f t="shared" si="19"/>
        <v>73.05</v>
      </c>
      <c r="W153">
        <f t="shared" si="20"/>
        <v>43.306666666666665</v>
      </c>
      <c r="X153">
        <f t="shared" si="21"/>
        <v>52.195</v>
      </c>
      <c r="Y153">
        <f t="shared" si="22"/>
        <v>8.8883333333333354</v>
      </c>
      <c r="AA153">
        <f t="shared" si="23"/>
        <v>17.776666666666671</v>
      </c>
      <c r="AB153">
        <f t="shared" si="24"/>
        <v>41.709999999999994</v>
      </c>
      <c r="AE153">
        <f t="shared" si="25"/>
        <v>0.42619675537441076</v>
      </c>
      <c r="AG153">
        <f t="shared" si="26"/>
        <v>0.42619675537441076</v>
      </c>
    </row>
    <row r="154" spans="1:33" x14ac:dyDescent="0.35">
      <c r="A154" s="1">
        <v>153</v>
      </c>
      <c r="B154" t="s">
        <v>171</v>
      </c>
      <c r="C154">
        <v>43.6</v>
      </c>
      <c r="D154">
        <v>85</v>
      </c>
      <c r="E154" t="s">
        <v>171</v>
      </c>
      <c r="F154">
        <v>34.200000000000003</v>
      </c>
      <c r="G154">
        <v>109</v>
      </c>
      <c r="H154" t="s">
        <v>171</v>
      </c>
      <c r="I154">
        <v>31.1</v>
      </c>
      <c r="J154">
        <v>126</v>
      </c>
      <c r="K154" t="s">
        <v>171</v>
      </c>
      <c r="L154">
        <v>50.83</v>
      </c>
      <c r="M154">
        <v>112</v>
      </c>
      <c r="N154" t="s">
        <v>171</v>
      </c>
      <c r="O154">
        <v>58.34</v>
      </c>
      <c r="P154">
        <v>127</v>
      </c>
      <c r="Q154" t="s">
        <v>171</v>
      </c>
      <c r="R154">
        <v>36.19</v>
      </c>
      <c r="S154">
        <v>140</v>
      </c>
      <c r="U154">
        <f t="shared" si="18"/>
        <v>31.1</v>
      </c>
      <c r="V154">
        <f t="shared" si="19"/>
        <v>58.34</v>
      </c>
      <c r="W154">
        <f t="shared" si="20"/>
        <v>42.376666666666672</v>
      </c>
      <c r="X154">
        <f t="shared" si="21"/>
        <v>44.72</v>
      </c>
      <c r="Y154">
        <f t="shared" si="22"/>
        <v>2.3433333333333266</v>
      </c>
      <c r="AA154">
        <f t="shared" si="23"/>
        <v>4.6866666666666532</v>
      </c>
      <c r="AB154">
        <f t="shared" si="24"/>
        <v>27.240000000000002</v>
      </c>
      <c r="AE154">
        <f t="shared" si="25"/>
        <v>0.17205090553108124</v>
      </c>
      <c r="AG154">
        <f t="shared" si="26"/>
        <v>0.17205090553108124</v>
      </c>
    </row>
    <row r="155" spans="1:33" x14ac:dyDescent="0.35">
      <c r="A155" s="1">
        <v>154</v>
      </c>
      <c r="B155" t="s">
        <v>172</v>
      </c>
      <c r="C155">
        <v>45.7</v>
      </c>
      <c r="D155">
        <v>74</v>
      </c>
      <c r="E155" t="s">
        <v>172</v>
      </c>
      <c r="F155">
        <v>38.1</v>
      </c>
      <c r="G155">
        <v>91</v>
      </c>
      <c r="H155" t="s">
        <v>172</v>
      </c>
      <c r="I155">
        <v>45.4</v>
      </c>
      <c r="J155">
        <v>73</v>
      </c>
      <c r="K155" t="s">
        <v>172</v>
      </c>
      <c r="L155">
        <v>49.88</v>
      </c>
      <c r="M155">
        <v>114</v>
      </c>
      <c r="N155" t="s">
        <v>172</v>
      </c>
      <c r="O155">
        <v>69.540000000000006</v>
      </c>
      <c r="P155">
        <v>89</v>
      </c>
      <c r="Q155" t="s">
        <v>172</v>
      </c>
      <c r="R155">
        <v>52.83</v>
      </c>
      <c r="S155">
        <v>77</v>
      </c>
      <c r="U155">
        <f t="shared" si="18"/>
        <v>38.1</v>
      </c>
      <c r="V155">
        <f t="shared" si="19"/>
        <v>69.540000000000006</v>
      </c>
      <c r="W155">
        <f t="shared" si="20"/>
        <v>50.241666666666667</v>
      </c>
      <c r="X155">
        <f t="shared" si="21"/>
        <v>53.820000000000007</v>
      </c>
      <c r="Y155">
        <f t="shared" si="22"/>
        <v>3.5783333333333402</v>
      </c>
      <c r="AA155">
        <f t="shared" si="23"/>
        <v>7.1566666666666805</v>
      </c>
      <c r="AB155">
        <f t="shared" si="24"/>
        <v>31.440000000000005</v>
      </c>
      <c r="AE155">
        <f t="shared" si="25"/>
        <v>0.22762934690415648</v>
      </c>
      <c r="AG155">
        <f t="shared" si="26"/>
        <v>0.22762934690415648</v>
      </c>
    </row>
    <row r="156" spans="1:33" x14ac:dyDescent="0.35">
      <c r="A156" s="1">
        <v>155</v>
      </c>
      <c r="B156" t="s">
        <v>173</v>
      </c>
      <c r="C156">
        <v>49.9</v>
      </c>
      <c r="D156">
        <v>52</v>
      </c>
      <c r="E156" t="s">
        <v>173</v>
      </c>
      <c r="F156">
        <v>35.1</v>
      </c>
      <c r="G156">
        <v>105</v>
      </c>
      <c r="H156" t="s">
        <v>173</v>
      </c>
      <c r="I156">
        <v>35.299999999999997</v>
      </c>
      <c r="J156">
        <v>111</v>
      </c>
      <c r="K156" t="s">
        <v>173</v>
      </c>
      <c r="L156">
        <v>49.54</v>
      </c>
      <c r="M156">
        <v>116</v>
      </c>
      <c r="N156" t="s">
        <v>173</v>
      </c>
      <c r="O156">
        <v>55.79</v>
      </c>
      <c r="P156">
        <v>132</v>
      </c>
      <c r="Q156" t="s">
        <v>173</v>
      </c>
      <c r="R156">
        <v>39.409999999999997</v>
      </c>
      <c r="S156">
        <v>129</v>
      </c>
      <c r="U156">
        <f t="shared" si="18"/>
        <v>35.1</v>
      </c>
      <c r="V156">
        <f t="shared" si="19"/>
        <v>55.79</v>
      </c>
      <c r="W156">
        <f t="shared" si="20"/>
        <v>44.173333333333325</v>
      </c>
      <c r="X156">
        <f t="shared" si="21"/>
        <v>45.445</v>
      </c>
      <c r="Y156">
        <f t="shared" si="22"/>
        <v>1.2716666666666754</v>
      </c>
      <c r="AA156">
        <f t="shared" si="23"/>
        <v>2.5433333333333508</v>
      </c>
      <c r="AB156">
        <f t="shared" si="24"/>
        <v>20.689999999999998</v>
      </c>
      <c r="AE156">
        <f t="shared" si="25"/>
        <v>0.12292572901562837</v>
      </c>
      <c r="AG156">
        <f t="shared" si="26"/>
        <v>0.12292572901562837</v>
      </c>
    </row>
    <row r="157" spans="1:33" x14ac:dyDescent="0.35">
      <c r="A157" s="1">
        <v>156</v>
      </c>
      <c r="B157" t="s">
        <v>174</v>
      </c>
      <c r="C157">
        <v>35.700000000000003</v>
      </c>
      <c r="D157">
        <v>123</v>
      </c>
      <c r="E157" t="s">
        <v>174</v>
      </c>
      <c r="F157">
        <v>34</v>
      </c>
      <c r="G157">
        <v>110</v>
      </c>
      <c r="H157" t="s">
        <v>174</v>
      </c>
      <c r="I157">
        <v>29.5</v>
      </c>
      <c r="J157">
        <v>133</v>
      </c>
      <c r="K157" t="s">
        <v>174</v>
      </c>
      <c r="L157">
        <v>41.78</v>
      </c>
      <c r="M157">
        <v>150</v>
      </c>
      <c r="N157" t="s">
        <v>174</v>
      </c>
      <c r="O157">
        <v>46.1</v>
      </c>
      <c r="P157">
        <v>153</v>
      </c>
      <c r="Q157" t="s">
        <v>174</v>
      </c>
      <c r="R157">
        <v>27.91</v>
      </c>
      <c r="S157">
        <v>159</v>
      </c>
      <c r="U157">
        <f t="shared" si="18"/>
        <v>27.91</v>
      </c>
      <c r="V157">
        <f t="shared" si="19"/>
        <v>46.1</v>
      </c>
      <c r="W157">
        <f t="shared" si="20"/>
        <v>35.831666666666671</v>
      </c>
      <c r="X157">
        <f t="shared" si="21"/>
        <v>37.005000000000003</v>
      </c>
      <c r="Y157">
        <f t="shared" si="22"/>
        <v>1.173333333333332</v>
      </c>
      <c r="AA157">
        <f t="shared" si="23"/>
        <v>2.346666666666664</v>
      </c>
      <c r="AB157">
        <f t="shared" si="24"/>
        <v>18.190000000000001</v>
      </c>
      <c r="AE157">
        <f t="shared" si="25"/>
        <v>0.12900861279091061</v>
      </c>
      <c r="AG157">
        <f t="shared" si="26"/>
        <v>0.12900861279091061</v>
      </c>
    </row>
    <row r="158" spans="1:33" x14ac:dyDescent="0.35">
      <c r="A158" s="1">
        <v>157</v>
      </c>
      <c r="B158" t="s">
        <v>175</v>
      </c>
      <c r="C158">
        <v>40.4</v>
      </c>
      <c r="D158">
        <v>100</v>
      </c>
      <c r="E158" t="s">
        <v>175</v>
      </c>
      <c r="F158">
        <v>43.8</v>
      </c>
      <c r="G158">
        <v>69</v>
      </c>
      <c r="H158" t="s">
        <v>175</v>
      </c>
      <c r="I158">
        <v>45.1</v>
      </c>
      <c r="J158">
        <v>75</v>
      </c>
      <c r="K158" t="s">
        <v>175</v>
      </c>
      <c r="L158">
        <v>62.49</v>
      </c>
      <c r="M158">
        <v>55</v>
      </c>
      <c r="N158" t="s">
        <v>175</v>
      </c>
      <c r="O158">
        <v>66.86</v>
      </c>
      <c r="P158">
        <v>99</v>
      </c>
      <c r="Q158" t="s">
        <v>175</v>
      </c>
      <c r="R158">
        <v>61.68</v>
      </c>
      <c r="S158">
        <v>47</v>
      </c>
      <c r="U158">
        <f t="shared" si="18"/>
        <v>40.4</v>
      </c>
      <c r="V158">
        <f t="shared" si="19"/>
        <v>66.86</v>
      </c>
      <c r="W158">
        <f t="shared" si="20"/>
        <v>53.388333333333328</v>
      </c>
      <c r="X158">
        <f t="shared" si="21"/>
        <v>53.629999999999995</v>
      </c>
      <c r="Y158">
        <f t="shared" si="22"/>
        <v>0.24166666666666714</v>
      </c>
      <c r="AA158">
        <f t="shared" si="23"/>
        <v>0.48333333333333428</v>
      </c>
      <c r="AB158">
        <f t="shared" si="24"/>
        <v>26.46</v>
      </c>
      <c r="AE158">
        <f t="shared" si="25"/>
        <v>1.8266565885613539E-2</v>
      </c>
      <c r="AG158">
        <f t="shared" si="26"/>
        <v>1.8266565885613539E-2</v>
      </c>
    </row>
    <row r="159" spans="1:33" x14ac:dyDescent="0.35">
      <c r="A159" s="1">
        <v>158</v>
      </c>
      <c r="B159" t="s">
        <v>176</v>
      </c>
      <c r="C159">
        <v>52.5</v>
      </c>
      <c r="D159">
        <v>45</v>
      </c>
      <c r="E159" t="s">
        <v>176</v>
      </c>
      <c r="F159">
        <v>47.8</v>
      </c>
      <c r="G159">
        <v>52</v>
      </c>
      <c r="H159" t="s">
        <v>176</v>
      </c>
      <c r="I159">
        <v>47.5</v>
      </c>
      <c r="J159">
        <v>65</v>
      </c>
      <c r="K159" t="s">
        <v>176</v>
      </c>
      <c r="L159">
        <v>67.36</v>
      </c>
      <c r="M159">
        <v>34</v>
      </c>
      <c r="N159" t="s">
        <v>176</v>
      </c>
      <c r="O159">
        <v>74.34</v>
      </c>
      <c r="P159">
        <v>62</v>
      </c>
      <c r="Q159" t="s">
        <v>176</v>
      </c>
      <c r="R159">
        <v>52.28</v>
      </c>
      <c r="S159">
        <v>78</v>
      </c>
      <c r="U159">
        <f t="shared" si="18"/>
        <v>47.5</v>
      </c>
      <c r="V159">
        <f t="shared" si="19"/>
        <v>74.34</v>
      </c>
      <c r="W159">
        <f t="shared" si="20"/>
        <v>56.963333333333331</v>
      </c>
      <c r="X159">
        <f t="shared" si="21"/>
        <v>60.92</v>
      </c>
      <c r="Y159">
        <f t="shared" si="22"/>
        <v>3.9566666666666706</v>
      </c>
      <c r="AA159">
        <f t="shared" si="23"/>
        <v>7.9133333333333411</v>
      </c>
      <c r="AB159">
        <f t="shared" si="24"/>
        <v>26.840000000000003</v>
      </c>
      <c r="AE159">
        <f t="shared" si="25"/>
        <v>0.2948335817188279</v>
      </c>
      <c r="AG159">
        <f t="shared" si="26"/>
        <v>0.2948335817188279</v>
      </c>
    </row>
    <row r="160" spans="1:33" x14ac:dyDescent="0.35">
      <c r="A160" s="1">
        <v>159</v>
      </c>
      <c r="B160" t="s">
        <v>177</v>
      </c>
      <c r="C160">
        <v>45.3</v>
      </c>
      <c r="D160">
        <v>75</v>
      </c>
      <c r="E160" t="s">
        <v>177</v>
      </c>
      <c r="F160">
        <v>40.700000000000003</v>
      </c>
      <c r="G160">
        <v>80</v>
      </c>
      <c r="H160" t="s">
        <v>177</v>
      </c>
      <c r="I160">
        <v>46.7</v>
      </c>
      <c r="J160">
        <v>67</v>
      </c>
      <c r="K160" t="s">
        <v>177</v>
      </c>
      <c r="L160">
        <v>62.35</v>
      </c>
      <c r="M160">
        <v>56</v>
      </c>
      <c r="N160" t="s">
        <v>177</v>
      </c>
      <c r="O160">
        <v>77.28</v>
      </c>
      <c r="P160">
        <v>53</v>
      </c>
      <c r="Q160" t="s">
        <v>177</v>
      </c>
      <c r="R160">
        <v>58.99</v>
      </c>
      <c r="S160">
        <v>52</v>
      </c>
      <c r="U160">
        <f t="shared" si="18"/>
        <v>40.700000000000003</v>
      </c>
      <c r="V160">
        <f t="shared" si="19"/>
        <v>77.28</v>
      </c>
      <c r="W160">
        <f t="shared" si="20"/>
        <v>55.22</v>
      </c>
      <c r="X160">
        <f t="shared" si="21"/>
        <v>58.99</v>
      </c>
      <c r="Y160">
        <f t="shared" si="22"/>
        <v>3.7700000000000031</v>
      </c>
      <c r="AA160">
        <f t="shared" si="23"/>
        <v>7.5400000000000063</v>
      </c>
      <c r="AB160">
        <f t="shared" si="24"/>
        <v>36.58</v>
      </c>
      <c r="AE160">
        <f t="shared" si="25"/>
        <v>0.20612356478950264</v>
      </c>
      <c r="AG160">
        <f t="shared" si="26"/>
        <v>0.20612356478950264</v>
      </c>
    </row>
    <row r="161" spans="1:33" x14ac:dyDescent="0.35">
      <c r="A161" s="1">
        <v>160</v>
      </c>
      <c r="B161" t="s">
        <v>178</v>
      </c>
      <c r="C161">
        <v>37.200000000000003</v>
      </c>
      <c r="D161">
        <v>116</v>
      </c>
      <c r="E161" t="s">
        <v>179</v>
      </c>
      <c r="F161">
        <v>26.3</v>
      </c>
      <c r="G161">
        <v>137</v>
      </c>
      <c r="H161" t="s">
        <v>179</v>
      </c>
      <c r="I161">
        <v>42.6</v>
      </c>
      <c r="J161">
        <v>86</v>
      </c>
      <c r="K161" t="s">
        <v>179</v>
      </c>
      <c r="L161">
        <v>52.96</v>
      </c>
      <c r="M161">
        <v>102</v>
      </c>
      <c r="N161" t="s">
        <v>179</v>
      </c>
      <c r="O161">
        <v>67.680000000000007</v>
      </c>
      <c r="P161">
        <v>97</v>
      </c>
      <c r="Q161" t="s">
        <v>179</v>
      </c>
      <c r="R161">
        <v>54.91</v>
      </c>
      <c r="S161">
        <v>66</v>
      </c>
      <c r="U161">
        <f t="shared" si="18"/>
        <v>26.3</v>
      </c>
      <c r="V161">
        <f t="shared" si="19"/>
        <v>67.680000000000007</v>
      </c>
      <c r="W161">
        <f t="shared" si="20"/>
        <v>46.941666666666663</v>
      </c>
      <c r="X161">
        <f t="shared" si="21"/>
        <v>46.99</v>
      </c>
      <c r="Y161">
        <f t="shared" si="22"/>
        <v>4.8333333333339112E-2</v>
      </c>
      <c r="AA161">
        <f t="shared" si="23"/>
        <v>9.6666666666678225E-2</v>
      </c>
      <c r="AB161">
        <f t="shared" si="24"/>
        <v>41.38000000000001</v>
      </c>
      <c r="AE161">
        <f t="shared" si="25"/>
        <v>2.3360721765751137E-3</v>
      </c>
      <c r="AG161">
        <f t="shared" si="26"/>
        <v>2.3360721765751137E-3</v>
      </c>
    </row>
    <row r="162" spans="1:33" x14ac:dyDescent="0.35">
      <c r="A162" s="1">
        <v>161</v>
      </c>
      <c r="B162" t="s">
        <v>180</v>
      </c>
      <c r="C162">
        <v>40.6</v>
      </c>
      <c r="D162">
        <v>98</v>
      </c>
      <c r="E162" t="s">
        <v>180</v>
      </c>
      <c r="F162">
        <v>37</v>
      </c>
      <c r="G162">
        <v>98</v>
      </c>
      <c r="H162" t="s">
        <v>180</v>
      </c>
      <c r="I162">
        <v>43.9</v>
      </c>
      <c r="J162">
        <v>82</v>
      </c>
      <c r="K162" t="s">
        <v>180</v>
      </c>
      <c r="L162">
        <v>66.099999999999994</v>
      </c>
      <c r="M162">
        <v>36</v>
      </c>
      <c r="N162" t="s">
        <v>180</v>
      </c>
      <c r="O162">
        <v>70.239999999999995</v>
      </c>
      <c r="P162">
        <v>84</v>
      </c>
      <c r="Q162" t="s">
        <v>180</v>
      </c>
      <c r="R162">
        <v>45.07</v>
      </c>
      <c r="S162">
        <v>107</v>
      </c>
      <c r="U162">
        <f t="shared" si="18"/>
        <v>37</v>
      </c>
      <c r="V162">
        <f t="shared" si="19"/>
        <v>70.239999999999995</v>
      </c>
      <c r="W162">
        <f t="shared" si="20"/>
        <v>50.484999999999992</v>
      </c>
      <c r="X162">
        <f t="shared" si="21"/>
        <v>53.62</v>
      </c>
      <c r="Y162">
        <f t="shared" si="22"/>
        <v>3.1350000000000051</v>
      </c>
      <c r="AA162">
        <f t="shared" si="23"/>
        <v>6.2700000000000102</v>
      </c>
      <c r="AB162">
        <f t="shared" si="24"/>
        <v>33.239999999999995</v>
      </c>
      <c r="AE162">
        <f t="shared" si="25"/>
        <v>0.18862815884476569</v>
      </c>
      <c r="AG162">
        <f t="shared" si="26"/>
        <v>0.18862815884476569</v>
      </c>
    </row>
    <row r="163" spans="1:33" x14ac:dyDescent="0.35">
      <c r="A163" s="1">
        <v>162</v>
      </c>
      <c r="B163" t="s">
        <v>181</v>
      </c>
      <c r="C163">
        <v>35.799999999999997</v>
      </c>
      <c r="D163">
        <v>122</v>
      </c>
      <c r="E163" t="s">
        <v>181</v>
      </c>
      <c r="F163">
        <v>35.799999999999997</v>
      </c>
      <c r="G163">
        <v>102</v>
      </c>
      <c r="H163" t="s">
        <v>181</v>
      </c>
      <c r="I163">
        <v>35.6</v>
      </c>
      <c r="J163">
        <v>110</v>
      </c>
      <c r="K163" t="s">
        <v>181</v>
      </c>
      <c r="L163">
        <v>44.28</v>
      </c>
      <c r="M163">
        <v>136</v>
      </c>
      <c r="N163" t="s">
        <v>181</v>
      </c>
      <c r="O163">
        <v>57.56</v>
      </c>
      <c r="P163">
        <v>130</v>
      </c>
      <c r="Q163" t="s">
        <v>181</v>
      </c>
      <c r="R163">
        <v>39.18</v>
      </c>
      <c r="S163">
        <v>132</v>
      </c>
      <c r="U163">
        <f t="shared" si="18"/>
        <v>35.6</v>
      </c>
      <c r="V163">
        <f t="shared" si="19"/>
        <v>57.56</v>
      </c>
      <c r="W163">
        <f t="shared" si="20"/>
        <v>41.37</v>
      </c>
      <c r="X163">
        <f t="shared" si="21"/>
        <v>46.58</v>
      </c>
      <c r="Y163">
        <f t="shared" si="22"/>
        <v>5.2100000000000009</v>
      </c>
      <c r="AA163">
        <f t="shared" si="23"/>
        <v>10.420000000000002</v>
      </c>
      <c r="AB163">
        <f t="shared" si="24"/>
        <v>21.96</v>
      </c>
      <c r="AE163">
        <f t="shared" si="25"/>
        <v>0.47449908925318768</v>
      </c>
      <c r="AG163">
        <f t="shared" si="26"/>
        <v>0.47449908925318768</v>
      </c>
    </row>
    <row r="164" spans="1:33" x14ac:dyDescent="0.35">
      <c r="A164" s="1">
        <v>163</v>
      </c>
      <c r="B164" t="s">
        <v>182</v>
      </c>
      <c r="C164">
        <v>54.6</v>
      </c>
      <c r="D164">
        <v>39</v>
      </c>
      <c r="E164" t="s">
        <v>182</v>
      </c>
      <c r="F164">
        <v>49.6</v>
      </c>
      <c r="G164">
        <v>46</v>
      </c>
      <c r="H164" t="s">
        <v>182</v>
      </c>
      <c r="I164">
        <v>49.5</v>
      </c>
      <c r="J164">
        <v>57</v>
      </c>
      <c r="K164" t="s">
        <v>182</v>
      </c>
      <c r="L164">
        <v>52.87</v>
      </c>
      <c r="M164">
        <v>103</v>
      </c>
      <c r="N164" t="s">
        <v>182</v>
      </c>
      <c r="O164">
        <v>79.69</v>
      </c>
      <c r="P164">
        <v>44</v>
      </c>
      <c r="Q164" t="s">
        <v>182</v>
      </c>
      <c r="R164">
        <v>49.01</v>
      </c>
      <c r="S164">
        <v>93</v>
      </c>
      <c r="U164">
        <f t="shared" si="18"/>
        <v>49.01</v>
      </c>
      <c r="V164">
        <f t="shared" si="19"/>
        <v>79.69</v>
      </c>
      <c r="W164">
        <f t="shared" si="20"/>
        <v>55.87833333333333</v>
      </c>
      <c r="X164">
        <f t="shared" si="21"/>
        <v>64.349999999999994</v>
      </c>
      <c r="Y164">
        <f t="shared" si="22"/>
        <v>8.471666666666664</v>
      </c>
      <c r="AA164">
        <f t="shared" si="23"/>
        <v>16.943333333333328</v>
      </c>
      <c r="AB164">
        <f t="shared" si="24"/>
        <v>30.68</v>
      </c>
      <c r="AE164">
        <f t="shared" si="25"/>
        <v>0.55225988700564954</v>
      </c>
      <c r="AG164">
        <f t="shared" si="26"/>
        <v>0.55225988700564954</v>
      </c>
    </row>
    <row r="165" spans="1:33" x14ac:dyDescent="0.35">
      <c r="A165" s="1">
        <v>164</v>
      </c>
      <c r="B165" t="s">
        <v>183</v>
      </c>
      <c r="C165">
        <v>51.6</v>
      </c>
      <c r="D165">
        <v>47</v>
      </c>
      <c r="E165" t="s">
        <v>183</v>
      </c>
      <c r="F165">
        <v>52.4</v>
      </c>
      <c r="G165">
        <v>36</v>
      </c>
      <c r="H165" t="s">
        <v>183</v>
      </c>
      <c r="I165">
        <v>55.6</v>
      </c>
      <c r="J165">
        <v>40</v>
      </c>
      <c r="K165" t="s">
        <v>183</v>
      </c>
      <c r="L165">
        <v>58.9</v>
      </c>
      <c r="M165">
        <v>75</v>
      </c>
      <c r="N165" t="s">
        <v>183</v>
      </c>
      <c r="O165">
        <v>69.349999999999994</v>
      </c>
      <c r="P165">
        <v>90</v>
      </c>
      <c r="Q165" t="s">
        <v>183</v>
      </c>
      <c r="R165">
        <v>72.91</v>
      </c>
      <c r="S165">
        <v>25</v>
      </c>
      <c r="U165">
        <f t="shared" si="18"/>
        <v>51.6</v>
      </c>
      <c r="V165">
        <f t="shared" si="19"/>
        <v>72.91</v>
      </c>
      <c r="W165">
        <f t="shared" si="20"/>
        <v>60.126666666666665</v>
      </c>
      <c r="X165">
        <f t="shared" si="21"/>
        <v>62.254999999999995</v>
      </c>
      <c r="Y165">
        <f t="shared" si="22"/>
        <v>2.1283333333333303</v>
      </c>
      <c r="AA165">
        <f t="shared" si="23"/>
        <v>4.2566666666666606</v>
      </c>
      <c r="AB165">
        <f t="shared" si="24"/>
        <v>21.309999999999995</v>
      </c>
      <c r="AE165">
        <f t="shared" si="25"/>
        <v>0.19974972626310003</v>
      </c>
      <c r="AG165">
        <f t="shared" si="26"/>
        <v>0.19974972626310003</v>
      </c>
    </row>
    <row r="166" spans="1:33" x14ac:dyDescent="0.35">
      <c r="A166" s="1">
        <v>165</v>
      </c>
      <c r="B166" t="s">
        <v>184</v>
      </c>
      <c r="C166">
        <v>72.599999999999994</v>
      </c>
      <c r="D166">
        <v>5</v>
      </c>
      <c r="E166" t="s">
        <v>184</v>
      </c>
      <c r="F166">
        <v>77.7</v>
      </c>
      <c r="G166">
        <v>2</v>
      </c>
      <c r="H166" t="s">
        <v>184</v>
      </c>
      <c r="I166">
        <v>81.3</v>
      </c>
      <c r="J166">
        <v>4</v>
      </c>
      <c r="K166" t="s">
        <v>184</v>
      </c>
      <c r="L166">
        <v>79.89</v>
      </c>
      <c r="M166">
        <v>6</v>
      </c>
      <c r="N166" t="s">
        <v>184</v>
      </c>
      <c r="O166">
        <v>87.38</v>
      </c>
      <c r="P166">
        <v>12</v>
      </c>
      <c r="Q166" t="s">
        <v>184</v>
      </c>
      <c r="R166">
        <v>77.349999999999994</v>
      </c>
      <c r="S166">
        <v>12</v>
      </c>
      <c r="U166">
        <f t="shared" si="18"/>
        <v>72.599999999999994</v>
      </c>
      <c r="V166">
        <f t="shared" si="19"/>
        <v>87.38</v>
      </c>
      <c r="W166">
        <f t="shared" si="20"/>
        <v>79.37</v>
      </c>
      <c r="X166">
        <f t="shared" si="21"/>
        <v>79.989999999999995</v>
      </c>
      <c r="Y166">
        <f t="shared" si="22"/>
        <v>0.61999999999999034</v>
      </c>
      <c r="AA166">
        <f t="shared" si="23"/>
        <v>1.2399999999999807</v>
      </c>
      <c r="AB166">
        <f t="shared" si="24"/>
        <v>14.780000000000001</v>
      </c>
      <c r="AE166">
        <f t="shared" si="25"/>
        <v>8.3897158322055521E-2</v>
      </c>
      <c r="AG166">
        <f t="shared" si="26"/>
        <v>8.3897158322055521E-2</v>
      </c>
    </row>
    <row r="167" spans="1:33" x14ac:dyDescent="0.35">
      <c r="A167" s="1">
        <v>166</v>
      </c>
      <c r="B167" t="s">
        <v>185</v>
      </c>
      <c r="C167">
        <v>57.2</v>
      </c>
      <c r="D167">
        <v>33</v>
      </c>
      <c r="E167" t="s">
        <v>185</v>
      </c>
      <c r="F167">
        <v>51.1</v>
      </c>
      <c r="G167">
        <v>39</v>
      </c>
      <c r="H167" t="s">
        <v>185</v>
      </c>
      <c r="I167">
        <v>69.3</v>
      </c>
      <c r="J167">
        <v>22</v>
      </c>
      <c r="K167" t="s">
        <v>185</v>
      </c>
      <c r="L167">
        <v>71.19</v>
      </c>
      <c r="M167">
        <v>27</v>
      </c>
      <c r="N167" t="s">
        <v>185</v>
      </c>
      <c r="O167">
        <v>84.72</v>
      </c>
      <c r="P167">
        <v>26</v>
      </c>
      <c r="Q167" t="s">
        <v>185</v>
      </c>
      <c r="R167">
        <v>67.52</v>
      </c>
      <c r="S167">
        <v>33</v>
      </c>
      <c r="U167">
        <f t="shared" si="18"/>
        <v>51.1</v>
      </c>
      <c r="V167">
        <f t="shared" si="19"/>
        <v>84.72</v>
      </c>
      <c r="W167">
        <f t="shared" si="20"/>
        <v>66.838333333333324</v>
      </c>
      <c r="X167">
        <f t="shared" si="21"/>
        <v>67.91</v>
      </c>
      <c r="Y167">
        <f t="shared" si="22"/>
        <v>1.0716666666666725</v>
      </c>
      <c r="AA167">
        <f t="shared" si="23"/>
        <v>2.1433333333333451</v>
      </c>
      <c r="AB167">
        <f t="shared" si="24"/>
        <v>33.619999999999997</v>
      </c>
      <c r="AE167">
        <f t="shared" si="25"/>
        <v>6.3751735078326752E-2</v>
      </c>
      <c r="AG167">
        <f t="shared" si="26"/>
        <v>6.3751735078326752E-2</v>
      </c>
    </row>
    <row r="168" spans="1:33" x14ac:dyDescent="0.35">
      <c r="A168" s="1">
        <v>167</v>
      </c>
      <c r="B168" t="s">
        <v>186</v>
      </c>
      <c r="C168">
        <v>44.1</v>
      </c>
      <c r="D168">
        <v>81</v>
      </c>
      <c r="E168" t="s">
        <v>186</v>
      </c>
      <c r="F168">
        <v>37.4</v>
      </c>
      <c r="G168">
        <v>95</v>
      </c>
      <c r="H168" t="s">
        <v>186</v>
      </c>
      <c r="I168">
        <v>49.1</v>
      </c>
      <c r="J168">
        <v>58</v>
      </c>
      <c r="K168" t="s">
        <v>186</v>
      </c>
      <c r="L168">
        <v>64.650000000000006</v>
      </c>
      <c r="M168">
        <v>45</v>
      </c>
      <c r="N168" t="s">
        <v>186</v>
      </c>
      <c r="O168">
        <v>73.98</v>
      </c>
      <c r="P168">
        <v>65</v>
      </c>
      <c r="Q168" t="s">
        <v>186</v>
      </c>
      <c r="R168">
        <v>53.61</v>
      </c>
      <c r="S168">
        <v>69</v>
      </c>
      <c r="U168">
        <f t="shared" si="18"/>
        <v>37.4</v>
      </c>
      <c r="V168">
        <f t="shared" si="19"/>
        <v>73.98</v>
      </c>
      <c r="W168">
        <f t="shared" si="20"/>
        <v>53.806666666666672</v>
      </c>
      <c r="X168">
        <f t="shared" si="21"/>
        <v>55.69</v>
      </c>
      <c r="Y168">
        <f t="shared" si="22"/>
        <v>1.8833333333333258</v>
      </c>
      <c r="AA168">
        <f t="shared" si="23"/>
        <v>3.7666666666666515</v>
      </c>
      <c r="AB168">
        <f t="shared" si="24"/>
        <v>36.580000000000005</v>
      </c>
      <c r="AE168">
        <f t="shared" si="25"/>
        <v>0.10297065791871654</v>
      </c>
      <c r="AG168">
        <f t="shared" si="26"/>
        <v>0.10297065791871654</v>
      </c>
    </row>
    <row r="169" spans="1:33" x14ac:dyDescent="0.35">
      <c r="A169" s="1">
        <v>168</v>
      </c>
      <c r="B169" t="s">
        <v>187</v>
      </c>
      <c r="C169">
        <v>42.6</v>
      </c>
      <c r="D169">
        <v>90</v>
      </c>
      <c r="E169" t="s">
        <v>187</v>
      </c>
      <c r="F169">
        <v>38.200000000000003</v>
      </c>
      <c r="G169">
        <v>90</v>
      </c>
      <c r="H169" t="s">
        <v>187</v>
      </c>
      <c r="I169">
        <v>44.3</v>
      </c>
      <c r="J169">
        <v>80</v>
      </c>
      <c r="K169" t="s">
        <v>187</v>
      </c>
      <c r="L169">
        <v>45.88</v>
      </c>
      <c r="M169">
        <v>127</v>
      </c>
      <c r="N169" t="s">
        <v>187</v>
      </c>
      <c r="O169">
        <v>63.67</v>
      </c>
      <c r="P169">
        <v>115</v>
      </c>
      <c r="Q169" t="s">
        <v>187</v>
      </c>
      <c r="R169">
        <v>43.23</v>
      </c>
      <c r="S169">
        <v>115</v>
      </c>
      <c r="U169">
        <f t="shared" si="18"/>
        <v>38.200000000000003</v>
      </c>
      <c r="V169">
        <f t="shared" si="19"/>
        <v>63.67</v>
      </c>
      <c r="W169">
        <f t="shared" si="20"/>
        <v>46.31333333333334</v>
      </c>
      <c r="X169">
        <f t="shared" si="21"/>
        <v>50.935000000000002</v>
      </c>
      <c r="Y169">
        <f t="shared" si="22"/>
        <v>4.6216666666666626</v>
      </c>
      <c r="AA169">
        <f t="shared" si="23"/>
        <v>9.2433333333333252</v>
      </c>
      <c r="AB169">
        <f t="shared" si="24"/>
        <v>25.47</v>
      </c>
      <c r="AE169">
        <f t="shared" si="25"/>
        <v>0.36291061379400574</v>
      </c>
      <c r="AG169">
        <f t="shared" si="26"/>
        <v>0.36291061379400574</v>
      </c>
    </row>
    <row r="170" spans="1:33" x14ac:dyDescent="0.35">
      <c r="A170" s="1">
        <v>169</v>
      </c>
      <c r="B170" t="s">
        <v>188</v>
      </c>
      <c r="C170">
        <v>45</v>
      </c>
      <c r="D170">
        <v>76</v>
      </c>
      <c r="E170" t="s">
        <v>188</v>
      </c>
      <c r="F170">
        <v>36.9</v>
      </c>
      <c r="G170">
        <v>99</v>
      </c>
      <c r="H170" t="s">
        <v>188</v>
      </c>
      <c r="I170">
        <v>28.9</v>
      </c>
      <c r="J170">
        <v>137</v>
      </c>
      <c r="K170" t="s">
        <v>188</v>
      </c>
      <c r="L170">
        <v>44.55</v>
      </c>
      <c r="M170">
        <v>135</v>
      </c>
      <c r="N170" t="s">
        <v>188</v>
      </c>
      <c r="O170">
        <v>57.74</v>
      </c>
      <c r="P170">
        <v>129</v>
      </c>
      <c r="Q170" t="s">
        <v>188</v>
      </c>
      <c r="R170">
        <v>45.88</v>
      </c>
      <c r="S170">
        <v>104</v>
      </c>
      <c r="U170">
        <f t="shared" si="18"/>
        <v>28.9</v>
      </c>
      <c r="V170">
        <f t="shared" si="19"/>
        <v>57.74</v>
      </c>
      <c r="W170">
        <f t="shared" si="20"/>
        <v>43.161666666666669</v>
      </c>
      <c r="X170">
        <f t="shared" si="21"/>
        <v>43.32</v>
      </c>
      <c r="Y170">
        <f t="shared" si="22"/>
        <v>0.15833333333333144</v>
      </c>
      <c r="AA170">
        <f t="shared" si="23"/>
        <v>0.31666666666666288</v>
      </c>
      <c r="AB170">
        <f t="shared" si="24"/>
        <v>28.840000000000003</v>
      </c>
      <c r="AE170">
        <f t="shared" si="25"/>
        <v>1.0980120203421042E-2</v>
      </c>
      <c r="AG170">
        <f t="shared" si="26"/>
        <v>1.0980120203421042E-2</v>
      </c>
    </row>
    <row r="171" spans="1:33" x14ac:dyDescent="0.35">
      <c r="A171" s="1">
        <v>170</v>
      </c>
      <c r="B171" t="s">
        <v>189</v>
      </c>
      <c r="C171">
        <v>53.3</v>
      </c>
      <c r="D171">
        <v>41</v>
      </c>
      <c r="E171" t="s">
        <v>189</v>
      </c>
      <c r="F171">
        <v>46.4</v>
      </c>
      <c r="G171">
        <v>58</v>
      </c>
      <c r="H171" t="s">
        <v>189</v>
      </c>
      <c r="I171">
        <v>50.3</v>
      </c>
      <c r="J171">
        <v>56</v>
      </c>
      <c r="K171" t="s">
        <v>189</v>
      </c>
      <c r="L171">
        <v>63.89</v>
      </c>
      <c r="M171">
        <v>49</v>
      </c>
      <c r="N171" t="s">
        <v>189</v>
      </c>
      <c r="O171">
        <v>76.23</v>
      </c>
      <c r="P171">
        <v>56</v>
      </c>
      <c r="Q171" t="s">
        <v>189</v>
      </c>
      <c r="R171">
        <v>57.8</v>
      </c>
      <c r="S171">
        <v>57</v>
      </c>
      <c r="U171">
        <f t="shared" si="18"/>
        <v>46.4</v>
      </c>
      <c r="V171">
        <f t="shared" si="19"/>
        <v>76.23</v>
      </c>
      <c r="W171">
        <f t="shared" si="20"/>
        <v>57.986666666666672</v>
      </c>
      <c r="X171">
        <f t="shared" si="21"/>
        <v>61.314999999999998</v>
      </c>
      <c r="Y171">
        <f t="shared" si="22"/>
        <v>3.328333333333326</v>
      </c>
      <c r="AA171">
        <f t="shared" si="23"/>
        <v>6.6566666666666521</v>
      </c>
      <c r="AB171">
        <f t="shared" si="24"/>
        <v>29.830000000000005</v>
      </c>
      <c r="AE171">
        <f t="shared" si="25"/>
        <v>0.22315342496368257</v>
      </c>
      <c r="AG171">
        <f t="shared" si="26"/>
        <v>0.22315342496368257</v>
      </c>
    </row>
    <row r="172" spans="1:33" x14ac:dyDescent="0.35">
      <c r="A172" s="1">
        <v>171</v>
      </c>
      <c r="B172" t="s">
        <v>190</v>
      </c>
      <c r="C172">
        <v>24.6</v>
      </c>
      <c r="D172">
        <v>147</v>
      </c>
      <c r="E172" t="s">
        <v>190</v>
      </c>
      <c r="F172">
        <v>20.100000000000001</v>
      </c>
      <c r="G172">
        <v>143</v>
      </c>
      <c r="H172" t="s">
        <v>190</v>
      </c>
      <c r="I172">
        <v>33.4</v>
      </c>
      <c r="J172">
        <v>118</v>
      </c>
      <c r="K172" t="s">
        <v>190</v>
      </c>
      <c r="L172">
        <v>46.96</v>
      </c>
      <c r="M172">
        <v>123</v>
      </c>
      <c r="N172" t="s">
        <v>190</v>
      </c>
      <c r="O172">
        <v>58.5</v>
      </c>
      <c r="P172">
        <v>126</v>
      </c>
      <c r="Q172" t="s">
        <v>190</v>
      </c>
      <c r="R172">
        <v>38.17</v>
      </c>
      <c r="S172">
        <v>133</v>
      </c>
      <c r="U172">
        <f t="shared" si="18"/>
        <v>20.100000000000001</v>
      </c>
      <c r="V172">
        <f t="shared" si="19"/>
        <v>58.5</v>
      </c>
      <c r="W172">
        <f t="shared" si="20"/>
        <v>36.955000000000005</v>
      </c>
      <c r="X172">
        <f t="shared" si="21"/>
        <v>39.299999999999997</v>
      </c>
      <c r="Y172">
        <f t="shared" si="22"/>
        <v>2.3449999999999918</v>
      </c>
      <c r="AA172">
        <f t="shared" si="23"/>
        <v>4.6899999999999835</v>
      </c>
      <c r="AB172">
        <f t="shared" si="24"/>
        <v>38.4</v>
      </c>
      <c r="AE172">
        <f t="shared" si="25"/>
        <v>0.12213541666666625</v>
      </c>
      <c r="AG172">
        <f t="shared" si="26"/>
        <v>0.12213541666666625</v>
      </c>
    </row>
    <row r="173" spans="1:33" x14ac:dyDescent="0.35">
      <c r="A173" s="1">
        <v>172</v>
      </c>
      <c r="B173" t="s">
        <v>191</v>
      </c>
      <c r="C173">
        <v>46.7</v>
      </c>
      <c r="D173">
        <v>69</v>
      </c>
      <c r="E173" t="s">
        <v>191</v>
      </c>
      <c r="F173">
        <v>38.4</v>
      </c>
      <c r="G173">
        <v>89</v>
      </c>
      <c r="H173" t="s">
        <v>191</v>
      </c>
      <c r="I173">
        <v>34.700000000000003</v>
      </c>
      <c r="J173">
        <v>113</v>
      </c>
      <c r="K173" t="s">
        <v>191</v>
      </c>
      <c r="L173">
        <v>50.97</v>
      </c>
      <c r="M173">
        <v>110</v>
      </c>
      <c r="N173" t="s">
        <v>191</v>
      </c>
      <c r="O173">
        <v>66.06</v>
      </c>
      <c r="P173">
        <v>103</v>
      </c>
      <c r="Q173" t="s">
        <v>191</v>
      </c>
      <c r="R173">
        <v>41.72</v>
      </c>
      <c r="S173">
        <v>118</v>
      </c>
      <c r="U173">
        <f t="shared" si="18"/>
        <v>34.700000000000003</v>
      </c>
      <c r="V173">
        <f t="shared" si="19"/>
        <v>66.06</v>
      </c>
      <c r="W173">
        <f t="shared" si="20"/>
        <v>46.42499999999999</v>
      </c>
      <c r="X173">
        <f t="shared" si="21"/>
        <v>50.38</v>
      </c>
      <c r="Y173">
        <f t="shared" si="22"/>
        <v>3.9550000000000125</v>
      </c>
      <c r="AA173">
        <f t="shared" si="23"/>
        <v>7.910000000000025</v>
      </c>
      <c r="AB173">
        <f t="shared" si="24"/>
        <v>31.36</v>
      </c>
      <c r="AE173">
        <f t="shared" si="25"/>
        <v>0.25223214285714368</v>
      </c>
      <c r="AG173">
        <f t="shared" si="26"/>
        <v>0.25223214285714368</v>
      </c>
    </row>
    <row r="174" spans="1:33" x14ac:dyDescent="0.35">
      <c r="A174" s="1">
        <v>173</v>
      </c>
      <c r="B174" t="s">
        <v>192</v>
      </c>
      <c r="C174">
        <v>51.6</v>
      </c>
      <c r="D174">
        <v>47</v>
      </c>
      <c r="E174" t="s">
        <v>192</v>
      </c>
      <c r="F174">
        <v>46.2</v>
      </c>
      <c r="G174">
        <v>60</v>
      </c>
      <c r="H174" t="s">
        <v>192</v>
      </c>
      <c r="I174">
        <v>37</v>
      </c>
      <c r="J174">
        <v>106</v>
      </c>
      <c r="K174" t="s">
        <v>192</v>
      </c>
      <c r="L174">
        <v>43.41</v>
      </c>
      <c r="M174">
        <v>140</v>
      </c>
      <c r="N174" t="s">
        <v>192</v>
      </c>
      <c r="O174">
        <v>59.25</v>
      </c>
      <c r="P174">
        <v>124</v>
      </c>
      <c r="Q174" t="s">
        <v>192</v>
      </c>
      <c r="R174">
        <v>49.54</v>
      </c>
      <c r="S174">
        <v>92</v>
      </c>
      <c r="U174">
        <f t="shared" si="18"/>
        <v>37</v>
      </c>
      <c r="V174">
        <f t="shared" si="19"/>
        <v>59.25</v>
      </c>
      <c r="W174">
        <f t="shared" si="20"/>
        <v>47.833333333333336</v>
      </c>
      <c r="X174">
        <f t="shared" si="21"/>
        <v>48.125</v>
      </c>
      <c r="Y174">
        <f t="shared" si="22"/>
        <v>0.2916666666666643</v>
      </c>
      <c r="AA174">
        <f t="shared" si="23"/>
        <v>0.5833333333333286</v>
      </c>
      <c r="AB174">
        <f t="shared" si="24"/>
        <v>22.25</v>
      </c>
      <c r="AE174">
        <f t="shared" si="25"/>
        <v>2.6217228464419262E-2</v>
      </c>
      <c r="AG174">
        <f t="shared" si="26"/>
        <v>2.6217228464419262E-2</v>
      </c>
    </row>
    <row r="177" spans="31:33" x14ac:dyDescent="0.35">
      <c r="AE177">
        <f>MIN(AE2:AE174)</f>
        <v>-0.26258005489478531</v>
      </c>
      <c r="AG177">
        <f>AVERAGE(AG2:AG174)</f>
        <v>0.19229283361552207</v>
      </c>
    </row>
    <row r="178" spans="31:33" x14ac:dyDescent="0.35">
      <c r="AE178">
        <f>MAX(AE2:AE174)</f>
        <v>0.55225988700564954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Wojciech Sałabun</cp:lastModifiedBy>
  <dcterms:created xsi:type="dcterms:W3CDTF">2026-01-09T19:27:59Z</dcterms:created>
  <dcterms:modified xsi:type="dcterms:W3CDTF">2026-01-10T09:16:21Z</dcterms:modified>
</cp:coreProperties>
</file>